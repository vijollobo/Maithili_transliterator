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xicon" sheetId="1" state="visible" r:id="rId3"/>
    <sheet name="Nasal conjuncts" sheetId="2" state="visible" r:id="rId4"/>
    <sheet name="Notes" sheetId="3" state="visible" r:id="rId5"/>
  </sheets>
  <definedNames>
    <definedName function="false" hidden="true" localSheetId="0" name="_xlnm._FilterDatabase" vbProcedure="false">Lexicon!$A$1:$K$90</definedName>
    <definedName function="false" hidden="true" localSheetId="1" name="_xlnm._FilterDatabase" vbProcedure="false">'Nasal conjuncts'!$A$1:$I$26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<sst xmlns="http://schemas.openxmlformats.org/spreadsheetml/2006/main" count="1277" uniqueCount="866">
  <si>
    <t xml:space="preserve">Devanagari</t>
  </si>
  <si>
    <t xml:space="preserve">Mithilakshara</t>
  </si>
  <si>
    <t xml:space="preserve">Category</t>
  </si>
  <si>
    <t xml:space="preserve">IAST</t>
  </si>
  <si>
    <t xml:space="preserve">IPA</t>
  </si>
  <si>
    <t xml:space="preserve">Devanagari code point</t>
  </si>
  <si>
    <t xml:space="preserve">Mithilakshara code point</t>
  </si>
  <si>
    <t xml:space="preserve">Unicode name (Devanagari)</t>
  </si>
  <si>
    <t xml:space="preserve">Unicode name (Tirhuta)</t>
  </si>
  <si>
    <t xml:space="preserve">Unicode category</t>
  </si>
  <si>
    <t xml:space="preserve">Notes</t>
  </si>
  <si>
    <t xml:space="preserve">अ</t>
  </si>
  <si>
    <t xml:space="preserve">𑒁</t>
  </si>
  <si>
    <t xml:space="preserve">Independent vowel</t>
  </si>
  <si>
    <t xml:space="preserve">a</t>
  </si>
  <si>
    <t xml:space="preserve">/ə/</t>
  </si>
  <si>
    <t xml:space="preserve">U+0905</t>
  </si>
  <si>
    <t xml:space="preserve">U+11481</t>
  </si>
  <si>
    <t xml:space="preserve">DEVANAGARI LETTER A</t>
  </si>
  <si>
    <t xml:space="preserve">TIRHUTA LETTER A</t>
  </si>
  <si>
    <t xml:space="preserve">Lo</t>
  </si>
  <si>
    <t xml:space="preserve">Inherent vowel of every consonant letter.</t>
  </si>
  <si>
    <t xml:space="preserve">आ</t>
  </si>
  <si>
    <t xml:space="preserve">𑒂</t>
  </si>
  <si>
    <t xml:space="preserve">ā</t>
  </si>
  <si>
    <t xml:space="preserve">/aː/</t>
  </si>
  <si>
    <t xml:space="preserve">U+0906</t>
  </si>
  <si>
    <t xml:space="preserve">U+11482</t>
  </si>
  <si>
    <t xml:space="preserve">DEVANAGARI LETTER AA</t>
  </si>
  <si>
    <t xml:space="preserve">TIRHUTA LETTER AA</t>
  </si>
  <si>
    <t xml:space="preserve">Long a.</t>
  </si>
  <si>
    <t xml:space="preserve">इ</t>
  </si>
  <si>
    <t xml:space="preserve">𑒃</t>
  </si>
  <si>
    <t xml:space="preserve">i</t>
  </si>
  <si>
    <t xml:space="preserve">/i/</t>
  </si>
  <si>
    <t xml:space="preserve">U+0907</t>
  </si>
  <si>
    <t xml:space="preserve">U+11483</t>
  </si>
  <si>
    <t xml:space="preserve">DEVANAGARI LETTER I</t>
  </si>
  <si>
    <t xml:space="preserve">TIRHUTA LETTER I</t>
  </si>
  <si>
    <t xml:space="preserve">Short i.</t>
  </si>
  <si>
    <t xml:space="preserve">ई</t>
  </si>
  <si>
    <t xml:space="preserve">𑒄</t>
  </si>
  <si>
    <t xml:space="preserve">ī</t>
  </si>
  <si>
    <t xml:space="preserve">/iː/</t>
  </si>
  <si>
    <t xml:space="preserve">U+0908</t>
  </si>
  <si>
    <t xml:space="preserve">U+11484</t>
  </si>
  <si>
    <t xml:space="preserve">DEVANAGARI LETTER II</t>
  </si>
  <si>
    <t xml:space="preserve">TIRHUTA LETTER II</t>
  </si>
  <si>
    <t xml:space="preserve">Long i.</t>
  </si>
  <si>
    <t xml:space="preserve">उ</t>
  </si>
  <si>
    <t xml:space="preserve">𑒅</t>
  </si>
  <si>
    <t xml:space="preserve">u</t>
  </si>
  <si>
    <t xml:space="preserve">/u/</t>
  </si>
  <si>
    <t xml:space="preserve">U+0909</t>
  </si>
  <si>
    <t xml:space="preserve">U+11485</t>
  </si>
  <si>
    <t xml:space="preserve">DEVANAGARI LETTER U</t>
  </si>
  <si>
    <t xml:space="preserve">TIRHUTA LETTER U</t>
  </si>
  <si>
    <t xml:space="preserve">Short u.</t>
  </si>
  <si>
    <t xml:space="preserve">ऊ</t>
  </si>
  <si>
    <t xml:space="preserve">𑒆</t>
  </si>
  <si>
    <t xml:space="preserve">ū</t>
  </si>
  <si>
    <t xml:space="preserve">/uː/</t>
  </si>
  <si>
    <t xml:space="preserve">U+090A</t>
  </si>
  <si>
    <t xml:space="preserve">U+11486</t>
  </si>
  <si>
    <t xml:space="preserve">DEVANAGARI LETTER UU</t>
  </si>
  <si>
    <t xml:space="preserve">TIRHUTA LETTER UU</t>
  </si>
  <si>
    <t xml:space="preserve">Long u.</t>
  </si>
  <si>
    <t xml:space="preserve">ऋ</t>
  </si>
  <si>
    <t xml:space="preserve">𑒇</t>
  </si>
  <si>
    <t xml:space="preserve">ṛ</t>
  </si>
  <si>
    <t xml:space="preserve">/r̩/</t>
  </si>
  <si>
    <t xml:space="preserve">U+090B</t>
  </si>
  <si>
    <t xml:space="preserve">U+11487</t>
  </si>
  <si>
    <t xml:space="preserve">DEVANAGARI LETTER VOCALIC R</t>
  </si>
  <si>
    <t xml:space="preserve">TIRHUTA LETTER VOCALIC R</t>
  </si>
  <si>
    <t xml:space="preserve">Vocalic r, short.</t>
  </si>
  <si>
    <t xml:space="preserve">ॠ</t>
  </si>
  <si>
    <t xml:space="preserve">𑒈</t>
  </si>
  <si>
    <t xml:space="preserve">ṝ</t>
  </si>
  <si>
    <t xml:space="preserve">/r̩ː/</t>
  </si>
  <si>
    <t xml:space="preserve">U+0960</t>
  </si>
  <si>
    <t xml:space="preserve">U+11488</t>
  </si>
  <si>
    <t xml:space="preserve">DEVANAGARI LETTER VOCALIC RR</t>
  </si>
  <si>
    <t xml:space="preserve">TIRHUTA LETTER VOCALIC RR</t>
  </si>
  <si>
    <t xml:space="preserve">Vocalic r, long.</t>
  </si>
  <si>
    <t xml:space="preserve">ऌ</t>
  </si>
  <si>
    <t xml:space="preserve">𑒉</t>
  </si>
  <si>
    <t xml:space="preserve">ḷ</t>
  </si>
  <si>
    <t xml:space="preserve">/l̩/</t>
  </si>
  <si>
    <t xml:space="preserve">U+090C</t>
  </si>
  <si>
    <t xml:space="preserve">U+11489</t>
  </si>
  <si>
    <t xml:space="preserve">DEVANAGARI LETTER VOCALIC L</t>
  </si>
  <si>
    <t xml:space="preserve">TIRHUTA LETTER VOCALIC L</t>
  </si>
  <si>
    <t xml:space="preserve">Vocalic l, short.</t>
  </si>
  <si>
    <t xml:space="preserve">ॡ</t>
  </si>
  <si>
    <t xml:space="preserve">𑒊</t>
  </si>
  <si>
    <t xml:space="preserve">ḹ</t>
  </si>
  <si>
    <t xml:space="preserve">/l̩ː/</t>
  </si>
  <si>
    <t xml:space="preserve">U+0961</t>
  </si>
  <si>
    <t xml:space="preserve">U+1148A</t>
  </si>
  <si>
    <t xml:space="preserve">DEVANAGARI LETTER VOCALIC LL</t>
  </si>
  <si>
    <t xml:space="preserve">TIRHUTA LETTER VOCALIC LL</t>
  </si>
  <si>
    <t xml:space="preserve">Vocalic l, long.</t>
  </si>
  <si>
    <t xml:space="preserve">ए</t>
  </si>
  <si>
    <t xml:space="preserve">𑒋</t>
  </si>
  <si>
    <t xml:space="preserve">e</t>
  </si>
  <si>
    <t xml:space="preserve">/eː/</t>
  </si>
  <si>
    <t xml:space="preserve">U+090F</t>
  </si>
  <si>
    <t xml:space="preserve">U+1148B</t>
  </si>
  <si>
    <t xml:space="preserve">DEVANAGARI LETTER E</t>
  </si>
  <si>
    <t xml:space="preserve">TIRHUTA LETTER E</t>
  </si>
  <si>
    <t xml:space="preserve">Long e. Tirhuta has no independent letter for short e (see the vowel signs).</t>
  </si>
  <si>
    <t xml:space="preserve">ऐ</t>
  </si>
  <si>
    <t xml:space="preserve">𑒌</t>
  </si>
  <si>
    <t xml:space="preserve">ai</t>
  </si>
  <si>
    <t xml:space="preserve">/ai/</t>
  </si>
  <si>
    <t xml:space="preserve">U+0910</t>
  </si>
  <si>
    <t xml:space="preserve">U+1148C</t>
  </si>
  <si>
    <t xml:space="preserve">DEVANAGARI LETTER AI</t>
  </si>
  <si>
    <t xml:space="preserve">TIRHUTA LETTER AI</t>
  </si>
  <si>
    <t xml:space="preserve">Diphthong ai.</t>
  </si>
  <si>
    <t xml:space="preserve">ओ</t>
  </si>
  <si>
    <t xml:space="preserve">𑒍</t>
  </si>
  <si>
    <t xml:space="preserve">o</t>
  </si>
  <si>
    <t xml:space="preserve">/oː/</t>
  </si>
  <si>
    <t xml:space="preserve">U+0913</t>
  </si>
  <si>
    <t xml:space="preserve">U+1148D</t>
  </si>
  <si>
    <t xml:space="preserve">DEVANAGARI LETTER O</t>
  </si>
  <si>
    <t xml:space="preserve">TIRHUTA LETTER O</t>
  </si>
  <si>
    <t xml:space="preserve">Long o. Tirhuta has no independent letter for short o (see the vowel signs).</t>
  </si>
  <si>
    <t xml:space="preserve">औ</t>
  </si>
  <si>
    <t xml:space="preserve">𑒎</t>
  </si>
  <si>
    <t xml:space="preserve">au</t>
  </si>
  <si>
    <t xml:space="preserve">/au/</t>
  </si>
  <si>
    <t xml:space="preserve">U+0914</t>
  </si>
  <si>
    <t xml:space="preserve">U+1148E</t>
  </si>
  <si>
    <t xml:space="preserve">DEVANAGARI LETTER AU</t>
  </si>
  <si>
    <t xml:space="preserve">TIRHUTA LETTER AU</t>
  </si>
  <si>
    <t xml:space="preserve">Diphthong au.</t>
  </si>
  <si>
    <t xml:space="preserve">ा</t>
  </si>
  <si>
    <t xml:space="preserve">𑒰</t>
  </si>
  <si>
    <t xml:space="preserve">Vowel sign</t>
  </si>
  <si>
    <t xml:space="preserve">U+093E</t>
  </si>
  <si>
    <t xml:space="preserve">U+114B0</t>
  </si>
  <si>
    <t xml:space="preserve">DEVANAGARI VOWEL SIGN AA</t>
  </si>
  <si>
    <t xml:space="preserve">TIRHUTA VOWEL SIGN AA</t>
  </si>
  <si>
    <t xml:space="preserve">Mc</t>
  </si>
  <si>
    <t xml:space="preserve">Dependent form of आ; written with a consonant.</t>
  </si>
  <si>
    <t xml:space="preserve">ि</t>
  </si>
  <si>
    <t xml:space="preserve">𑒱</t>
  </si>
  <si>
    <t xml:space="preserve">U+093F</t>
  </si>
  <si>
    <t xml:space="preserve">U+114B1</t>
  </si>
  <si>
    <t xml:space="preserve">DEVANAGARI VOWEL SIGN I</t>
  </si>
  <si>
    <t xml:space="preserve">TIRHUTA VOWEL SIGN I</t>
  </si>
  <si>
    <t xml:space="preserve">Dependent form of इ; written with a consonant.</t>
  </si>
  <si>
    <t xml:space="preserve">ी</t>
  </si>
  <si>
    <t xml:space="preserve">𑒲</t>
  </si>
  <si>
    <t xml:space="preserve">U+0940</t>
  </si>
  <si>
    <t xml:space="preserve">U+114B2</t>
  </si>
  <si>
    <t xml:space="preserve">DEVANAGARI VOWEL SIGN II</t>
  </si>
  <si>
    <t xml:space="preserve">TIRHUTA VOWEL SIGN II</t>
  </si>
  <si>
    <t xml:space="preserve">Dependent form of ई; written with a consonant.</t>
  </si>
  <si>
    <t xml:space="preserve">ु</t>
  </si>
  <si>
    <t xml:space="preserve">𑒳</t>
  </si>
  <si>
    <t xml:space="preserve">U+0941</t>
  </si>
  <si>
    <t xml:space="preserve">U+114B3</t>
  </si>
  <si>
    <t xml:space="preserve">DEVANAGARI VOWEL SIGN U</t>
  </si>
  <si>
    <t xml:space="preserve">TIRHUTA VOWEL SIGN U</t>
  </si>
  <si>
    <t xml:space="preserve">Mn</t>
  </si>
  <si>
    <t xml:space="preserve">Dependent form of उ; written with a consonant.</t>
  </si>
  <si>
    <t xml:space="preserve">ू</t>
  </si>
  <si>
    <t xml:space="preserve">𑒴</t>
  </si>
  <si>
    <t xml:space="preserve">U+0942</t>
  </si>
  <si>
    <t xml:space="preserve">U+114B4</t>
  </si>
  <si>
    <t xml:space="preserve">DEVANAGARI VOWEL SIGN UU</t>
  </si>
  <si>
    <t xml:space="preserve">TIRHUTA VOWEL SIGN UU</t>
  </si>
  <si>
    <t xml:space="preserve">Dependent form of ऊ; written with a consonant.</t>
  </si>
  <si>
    <t xml:space="preserve">ृ</t>
  </si>
  <si>
    <t xml:space="preserve">𑒵</t>
  </si>
  <si>
    <t xml:space="preserve">U+0943</t>
  </si>
  <si>
    <t xml:space="preserve">U+114B5</t>
  </si>
  <si>
    <t xml:space="preserve">DEVANAGARI VOWEL SIGN VOCALIC R</t>
  </si>
  <si>
    <t xml:space="preserve">TIRHUTA VOWEL SIGN VOCALIC R</t>
  </si>
  <si>
    <t xml:space="preserve">Dependent form of ऋ; written with a consonant.</t>
  </si>
  <si>
    <t xml:space="preserve">ॄ</t>
  </si>
  <si>
    <t xml:space="preserve">𑒶</t>
  </si>
  <si>
    <t xml:space="preserve">U+0944</t>
  </si>
  <si>
    <t xml:space="preserve">U+114B6</t>
  </si>
  <si>
    <t xml:space="preserve">DEVANAGARI VOWEL SIGN VOCALIC RR</t>
  </si>
  <si>
    <t xml:space="preserve">TIRHUTA VOWEL SIGN VOCALIC RR</t>
  </si>
  <si>
    <t xml:space="preserve">Dependent form of ॠ; written with a consonant.</t>
  </si>
  <si>
    <t xml:space="preserve">ॢ</t>
  </si>
  <si>
    <t xml:space="preserve">𑒷</t>
  </si>
  <si>
    <t xml:space="preserve">U+0962</t>
  </si>
  <si>
    <t xml:space="preserve">U+114B7</t>
  </si>
  <si>
    <t xml:space="preserve">DEVANAGARI VOWEL SIGN VOCALIC L</t>
  </si>
  <si>
    <t xml:space="preserve">TIRHUTA VOWEL SIGN VOCALIC L</t>
  </si>
  <si>
    <t xml:space="preserve">Dependent form of ऌ; written with a consonant.</t>
  </si>
  <si>
    <t xml:space="preserve">ॣ</t>
  </si>
  <si>
    <t xml:space="preserve">𑒸</t>
  </si>
  <si>
    <t xml:space="preserve">U+0963</t>
  </si>
  <si>
    <t xml:space="preserve">U+114B8</t>
  </si>
  <si>
    <t xml:space="preserve">DEVANAGARI VOWEL SIGN VOCALIC LL</t>
  </si>
  <si>
    <t xml:space="preserve">TIRHUTA VOWEL SIGN VOCALIC LL</t>
  </si>
  <si>
    <t xml:space="preserve">Dependent form of ॡ; written with a consonant.</t>
  </si>
  <si>
    <t xml:space="preserve">े</t>
  </si>
  <si>
    <t xml:space="preserve">𑒹</t>
  </si>
  <si>
    <t xml:space="preserve">U+0947</t>
  </si>
  <si>
    <t xml:space="preserve">U+114B9</t>
  </si>
  <si>
    <t xml:space="preserve">DEVANAGARI VOWEL SIGN E</t>
  </si>
  <si>
    <t xml:space="preserve">TIRHUTA VOWEL SIGN E</t>
  </si>
  <si>
    <t xml:space="preserve">Mn / Mc</t>
  </si>
  <si>
    <t xml:space="preserve">Dependent form of ए; written with a consonant.</t>
  </si>
  <si>
    <t xml:space="preserve">ै</t>
  </si>
  <si>
    <t xml:space="preserve">𑒻</t>
  </si>
  <si>
    <t xml:space="preserve">U+0948</t>
  </si>
  <si>
    <t xml:space="preserve">U+114BB</t>
  </si>
  <si>
    <t xml:space="preserve">DEVANAGARI VOWEL SIGN AI</t>
  </si>
  <si>
    <t xml:space="preserve">TIRHUTA VOWEL SIGN AI</t>
  </si>
  <si>
    <t xml:space="preserve">Dependent form of ऐ; written with a consonant.</t>
  </si>
  <si>
    <t xml:space="preserve">ो</t>
  </si>
  <si>
    <t xml:space="preserve">𑒼</t>
  </si>
  <si>
    <t xml:space="preserve">U+094B</t>
  </si>
  <si>
    <t xml:space="preserve">U+114BC</t>
  </si>
  <si>
    <t xml:space="preserve">DEVANAGARI VOWEL SIGN O</t>
  </si>
  <si>
    <t xml:space="preserve">TIRHUTA VOWEL SIGN O</t>
  </si>
  <si>
    <t xml:space="preserve">Dependent form of ओ; written with a consonant.</t>
  </si>
  <si>
    <t xml:space="preserve">ौ</t>
  </si>
  <si>
    <t xml:space="preserve">𑒾</t>
  </si>
  <si>
    <t xml:space="preserve">U+094C</t>
  </si>
  <si>
    <t xml:space="preserve">U+114BE</t>
  </si>
  <si>
    <t xml:space="preserve">DEVANAGARI VOWEL SIGN AU</t>
  </si>
  <si>
    <t xml:space="preserve">TIRHUTA VOWEL SIGN AU</t>
  </si>
  <si>
    <t xml:space="preserve">Dependent form of औ; written with a consonant.</t>
  </si>
  <si>
    <t xml:space="preserve">ॆ</t>
  </si>
  <si>
    <t xml:space="preserve">𑒺</t>
  </si>
  <si>
    <t xml:space="preserve">ĕ</t>
  </si>
  <si>
    <t xml:space="preserve">/e/</t>
  </si>
  <si>
    <t xml:space="preserve">U+0946</t>
  </si>
  <si>
    <t xml:space="preserve">U+114BA</t>
  </si>
  <si>
    <t xml:space="preserve">DEVANAGARI VOWEL SIGN SHORT E</t>
  </si>
  <si>
    <t xml:space="preserve">TIRHUTA VOWEL SIGN SHORT E</t>
  </si>
  <si>
    <t xml:space="preserve">Dependent sign for short e. Tirhuta has no independent letter for it; Devanagari ऎ passes through the converter unchanged.</t>
  </si>
  <si>
    <t xml:space="preserve">ॊ</t>
  </si>
  <si>
    <t xml:space="preserve">𑒽</t>
  </si>
  <si>
    <t xml:space="preserve">ŏ</t>
  </si>
  <si>
    <t xml:space="preserve">/o/</t>
  </si>
  <si>
    <t xml:space="preserve">U+094A</t>
  </si>
  <si>
    <t xml:space="preserve">U+114BD</t>
  </si>
  <si>
    <t xml:space="preserve">DEVANAGARI VOWEL SIGN SHORT O</t>
  </si>
  <si>
    <t xml:space="preserve">TIRHUTA VOWEL SIGN SHORT O</t>
  </si>
  <si>
    <t xml:space="preserve">Dependent sign for short o. Tirhuta has no independent letter for it; Devanagari ऒ passes through the converter unchanged.</t>
  </si>
  <si>
    <t xml:space="preserve">ं</t>
  </si>
  <si>
    <t xml:space="preserve">𑓀</t>
  </si>
  <si>
    <t xml:space="preserve">Sign</t>
  </si>
  <si>
    <t xml:space="preserve">ṃ</t>
  </si>
  <si>
    <t xml:space="preserve">◌̃</t>
  </si>
  <si>
    <t xml:space="preserve">U+0902</t>
  </si>
  <si>
    <t xml:space="preserve">U+114C0</t>
  </si>
  <si>
    <t xml:space="preserve">DEVANAGARI SIGN ANUSVARA</t>
  </si>
  <si>
    <t xml:space="preserve">TIRHUTA SIGN ANUSVARA</t>
  </si>
  <si>
    <t xml:space="preserve">Nasalisation. Before a stop consonant the converter writes the nasal of the stop's varga plus virāma instead (अंक gives अङ्क); elsewhere this sign is kept.</t>
  </si>
  <si>
    <t xml:space="preserve">ँ</t>
  </si>
  <si>
    <t xml:space="preserve">𑒿</t>
  </si>
  <si>
    <t xml:space="preserve">m̐</t>
  </si>
  <si>
    <t xml:space="preserve">U+0901</t>
  </si>
  <si>
    <t xml:space="preserve">U+114BF</t>
  </si>
  <si>
    <t xml:space="preserve">DEVANAGARI SIGN CANDRABINDU</t>
  </si>
  <si>
    <t xml:space="preserve">TIRHUTA SIGN CANDRABINDU</t>
  </si>
  <si>
    <t xml:space="preserve">Nasalisation of the vowel. Never changed by the anusvāra rule.</t>
  </si>
  <si>
    <t xml:space="preserve">ः</t>
  </si>
  <si>
    <t xml:space="preserve">𑓁</t>
  </si>
  <si>
    <t xml:space="preserve">ḥ</t>
  </si>
  <si>
    <t xml:space="preserve">/h/</t>
  </si>
  <si>
    <t xml:space="preserve">U+0903</t>
  </si>
  <si>
    <t xml:space="preserve">U+114C1</t>
  </si>
  <si>
    <t xml:space="preserve">DEVANAGARI SIGN VISARGA</t>
  </si>
  <si>
    <t xml:space="preserve">TIRHUTA SIGN VISARGA</t>
  </si>
  <si>
    <t xml:space="preserve">An h-like breath after a vowel.</t>
  </si>
  <si>
    <t xml:space="preserve">्</t>
  </si>
  <si>
    <t xml:space="preserve">𑓂</t>
  </si>
  <si>
    <t xml:space="preserve">(virāma)</t>
  </si>
  <si>
    <t xml:space="preserve">—</t>
  </si>
  <si>
    <t xml:space="preserve">U+094D</t>
  </si>
  <si>
    <t xml:space="preserve">U+114C2</t>
  </si>
  <si>
    <t xml:space="preserve">DEVANAGARI SIGN VIRAMA</t>
  </si>
  <si>
    <t xml:space="preserve">TIRHUTA SIGN VIRAMA</t>
  </si>
  <si>
    <t xml:space="preserve">Suppresses the inherent vowel and forms conjunct consonants.</t>
  </si>
  <si>
    <t xml:space="preserve">़</t>
  </si>
  <si>
    <t xml:space="preserve">𑓃</t>
  </si>
  <si>
    <t xml:space="preserve">(nukta)</t>
  </si>
  <si>
    <t xml:space="preserve">U+093C</t>
  </si>
  <si>
    <t xml:space="preserve">U+114C3</t>
  </si>
  <si>
    <t xml:space="preserve">DEVANAGARI SIGN NUKTA</t>
  </si>
  <si>
    <t xml:space="preserve">TIRHUTA SIGN NUKTA</t>
  </si>
  <si>
    <t xml:space="preserve">Modifies the base consonant (ज़, ड़, ढ़, फ़ and others). Precomposed Devanagari nukta letters are split into base letter and nukta before conversion.</t>
  </si>
  <si>
    <t xml:space="preserve">ऽ</t>
  </si>
  <si>
    <t xml:space="preserve">𑓄</t>
  </si>
  <si>
    <t xml:space="preserve">’</t>
  </si>
  <si>
    <t xml:space="preserve">U+093D</t>
  </si>
  <si>
    <t xml:space="preserve">U+114C4</t>
  </si>
  <si>
    <t xml:space="preserve">DEVANAGARI SIGN AVAGRAHA</t>
  </si>
  <si>
    <t xml:space="preserve">TIRHUTA SIGN AVAGRAHA</t>
  </si>
  <si>
    <t xml:space="preserve">Marks an elided or prolonged vowel.</t>
  </si>
  <si>
    <t xml:space="preserve">ॐ</t>
  </si>
  <si>
    <t xml:space="preserve">𑓇</t>
  </si>
  <si>
    <t xml:space="preserve">oṃ</t>
  </si>
  <si>
    <t xml:space="preserve">/oːm/</t>
  </si>
  <si>
    <t xml:space="preserve">U+0950</t>
  </si>
  <si>
    <t xml:space="preserve">U+114C7</t>
  </si>
  <si>
    <t xml:space="preserve">DEVANAGARI OM</t>
  </si>
  <si>
    <t xml:space="preserve">TIRHUTA OM</t>
  </si>
  <si>
    <t xml:space="preserve">The sacred syllable.</t>
  </si>
  <si>
    <t xml:space="preserve">क</t>
  </si>
  <si>
    <t xml:space="preserve">𑒏</t>
  </si>
  <si>
    <t xml:space="preserve">Consonant</t>
  </si>
  <si>
    <t xml:space="preserve">ka</t>
  </si>
  <si>
    <t xml:space="preserve">/k/</t>
  </si>
  <si>
    <t xml:space="preserve">U+0915</t>
  </si>
  <si>
    <t xml:space="preserve">U+1148F</t>
  </si>
  <si>
    <t xml:space="preserve">DEVANAGARI LETTER KA</t>
  </si>
  <si>
    <t xml:space="preserve">TIRHUTA LETTER KA</t>
  </si>
  <si>
    <t xml:space="preserve">ka-varga (velar); a stop</t>
  </si>
  <si>
    <t xml:space="preserve">ख</t>
  </si>
  <si>
    <t xml:space="preserve">𑒐</t>
  </si>
  <si>
    <t xml:space="preserve">kha</t>
  </si>
  <si>
    <t xml:space="preserve">/kʰ/</t>
  </si>
  <si>
    <t xml:space="preserve">U+0916</t>
  </si>
  <si>
    <t xml:space="preserve">U+11490</t>
  </si>
  <si>
    <t xml:space="preserve">DEVANAGARI LETTER KHA</t>
  </si>
  <si>
    <t xml:space="preserve">TIRHUTA LETTER KHA</t>
  </si>
  <si>
    <t xml:space="preserve">ग</t>
  </si>
  <si>
    <t xml:space="preserve">𑒑</t>
  </si>
  <si>
    <t xml:space="preserve">ga</t>
  </si>
  <si>
    <t xml:space="preserve">/ɡ/</t>
  </si>
  <si>
    <t xml:space="preserve">U+0917</t>
  </si>
  <si>
    <t xml:space="preserve">U+11491</t>
  </si>
  <si>
    <t xml:space="preserve">DEVANAGARI LETTER GA</t>
  </si>
  <si>
    <t xml:space="preserve">TIRHUTA LETTER GA</t>
  </si>
  <si>
    <t xml:space="preserve">घ</t>
  </si>
  <si>
    <t xml:space="preserve">𑒒</t>
  </si>
  <si>
    <t xml:space="preserve">gha</t>
  </si>
  <si>
    <t xml:space="preserve">/ɡʱ/</t>
  </si>
  <si>
    <t xml:space="preserve">U+0918</t>
  </si>
  <si>
    <t xml:space="preserve">U+11492</t>
  </si>
  <si>
    <t xml:space="preserve">DEVANAGARI LETTER GHA</t>
  </si>
  <si>
    <t xml:space="preserve">TIRHUTA LETTER GHA</t>
  </si>
  <si>
    <t xml:space="preserve">ङ</t>
  </si>
  <si>
    <t xml:space="preserve">𑒓</t>
  </si>
  <si>
    <t xml:space="preserve">ṅa</t>
  </si>
  <si>
    <t xml:space="preserve">/ŋ/</t>
  </si>
  <si>
    <t xml:space="preserve">U+0919</t>
  </si>
  <si>
    <t xml:space="preserve">U+11493</t>
  </si>
  <si>
    <t xml:space="preserve">DEVANAGARI LETTER NGA</t>
  </si>
  <si>
    <t xml:space="preserve">TIRHUTA LETTER NGA</t>
  </si>
  <si>
    <t xml:space="preserve">ka-varga (velar); the nasal of its varga, written for an anusvāra before a stop of that varga</t>
  </si>
  <si>
    <t xml:space="preserve">च</t>
  </si>
  <si>
    <t xml:space="preserve">𑒔</t>
  </si>
  <si>
    <t xml:space="preserve">ca</t>
  </si>
  <si>
    <t xml:space="preserve">/t͡ʃ/</t>
  </si>
  <si>
    <t xml:space="preserve">U+091A</t>
  </si>
  <si>
    <t xml:space="preserve">U+11494</t>
  </si>
  <si>
    <t xml:space="preserve">DEVANAGARI LETTER CA</t>
  </si>
  <si>
    <t xml:space="preserve">TIRHUTA LETTER CA</t>
  </si>
  <si>
    <t xml:space="preserve">ca-varga (palatal); a stop</t>
  </si>
  <si>
    <t xml:space="preserve">छ</t>
  </si>
  <si>
    <t xml:space="preserve">𑒕</t>
  </si>
  <si>
    <t xml:space="preserve">cha</t>
  </si>
  <si>
    <t xml:space="preserve">/t͡ʃʰ/</t>
  </si>
  <si>
    <t xml:space="preserve">U+091B</t>
  </si>
  <si>
    <t xml:space="preserve">U+11495</t>
  </si>
  <si>
    <t xml:space="preserve">DEVANAGARI LETTER CHA</t>
  </si>
  <si>
    <t xml:space="preserve">TIRHUTA LETTER CHA</t>
  </si>
  <si>
    <t xml:space="preserve">ज</t>
  </si>
  <si>
    <t xml:space="preserve">𑒖</t>
  </si>
  <si>
    <t xml:space="preserve">ja</t>
  </si>
  <si>
    <t xml:space="preserve">/d͡ʒ/</t>
  </si>
  <si>
    <t xml:space="preserve">U+091C</t>
  </si>
  <si>
    <t xml:space="preserve">U+11496</t>
  </si>
  <si>
    <t xml:space="preserve">DEVANAGARI LETTER JA</t>
  </si>
  <si>
    <t xml:space="preserve">TIRHUTA LETTER JA</t>
  </si>
  <si>
    <t xml:space="preserve">झ</t>
  </si>
  <si>
    <t xml:space="preserve">𑒗</t>
  </si>
  <si>
    <t xml:space="preserve">jha</t>
  </si>
  <si>
    <t xml:space="preserve">/d͡ʒʱ/</t>
  </si>
  <si>
    <t xml:space="preserve">U+091D</t>
  </si>
  <si>
    <t xml:space="preserve">U+11497</t>
  </si>
  <si>
    <t xml:space="preserve">DEVANAGARI LETTER JHA</t>
  </si>
  <si>
    <t xml:space="preserve">TIRHUTA LETTER JHA</t>
  </si>
  <si>
    <t xml:space="preserve">ञ</t>
  </si>
  <si>
    <t xml:space="preserve">𑒘</t>
  </si>
  <si>
    <t xml:space="preserve">ña</t>
  </si>
  <si>
    <t xml:space="preserve">/ɲ/</t>
  </si>
  <si>
    <t xml:space="preserve">U+091E</t>
  </si>
  <si>
    <t xml:space="preserve">U+11498</t>
  </si>
  <si>
    <t xml:space="preserve">DEVANAGARI LETTER NYA</t>
  </si>
  <si>
    <t xml:space="preserve">TIRHUTA LETTER NYA</t>
  </si>
  <si>
    <t xml:space="preserve">ca-varga (palatal); the nasal of its varga, written for an anusvāra before a stop of that varga</t>
  </si>
  <si>
    <t xml:space="preserve">ट</t>
  </si>
  <si>
    <t xml:space="preserve">𑒙</t>
  </si>
  <si>
    <t xml:space="preserve">ṭa</t>
  </si>
  <si>
    <t xml:space="preserve">/ʈ/</t>
  </si>
  <si>
    <t xml:space="preserve">U+091F</t>
  </si>
  <si>
    <t xml:space="preserve">U+11499</t>
  </si>
  <si>
    <t xml:space="preserve">DEVANAGARI LETTER TTA</t>
  </si>
  <si>
    <t xml:space="preserve">TIRHUTA LETTER TTA</t>
  </si>
  <si>
    <t xml:space="preserve">ṭa-varga (retroflex); a stop</t>
  </si>
  <si>
    <t xml:space="preserve">ठ</t>
  </si>
  <si>
    <t xml:space="preserve">𑒚</t>
  </si>
  <si>
    <t xml:space="preserve">ṭha</t>
  </si>
  <si>
    <t xml:space="preserve">/ʈʰ/</t>
  </si>
  <si>
    <t xml:space="preserve">U+0920</t>
  </si>
  <si>
    <t xml:space="preserve">U+1149A</t>
  </si>
  <si>
    <t xml:space="preserve">DEVANAGARI LETTER TTHA</t>
  </si>
  <si>
    <t xml:space="preserve">TIRHUTA LETTER TTHA</t>
  </si>
  <si>
    <t xml:space="preserve">ड</t>
  </si>
  <si>
    <t xml:space="preserve">𑒛</t>
  </si>
  <si>
    <t xml:space="preserve">ḍa</t>
  </si>
  <si>
    <t xml:space="preserve">/ɖ/</t>
  </si>
  <si>
    <t xml:space="preserve">U+0921</t>
  </si>
  <si>
    <t xml:space="preserve">U+1149B</t>
  </si>
  <si>
    <t xml:space="preserve">DEVANAGARI LETTER DDA</t>
  </si>
  <si>
    <t xml:space="preserve">TIRHUTA LETTER DDA</t>
  </si>
  <si>
    <t xml:space="preserve">ढ</t>
  </si>
  <si>
    <t xml:space="preserve">𑒜</t>
  </si>
  <si>
    <t xml:space="preserve">ḍha</t>
  </si>
  <si>
    <t xml:space="preserve">/ɖʱ/</t>
  </si>
  <si>
    <t xml:space="preserve">U+0922</t>
  </si>
  <si>
    <t xml:space="preserve">U+1149C</t>
  </si>
  <si>
    <t xml:space="preserve">DEVANAGARI LETTER DDHA</t>
  </si>
  <si>
    <t xml:space="preserve">TIRHUTA LETTER DDHA</t>
  </si>
  <si>
    <t xml:space="preserve">ण</t>
  </si>
  <si>
    <t xml:space="preserve">𑒝</t>
  </si>
  <si>
    <t xml:space="preserve">ṇa</t>
  </si>
  <si>
    <t xml:space="preserve">/ɳ/</t>
  </si>
  <si>
    <t xml:space="preserve">U+0923</t>
  </si>
  <si>
    <t xml:space="preserve">U+1149D</t>
  </si>
  <si>
    <t xml:space="preserve">DEVANAGARI LETTER NNA</t>
  </si>
  <si>
    <t xml:space="preserve">TIRHUTA LETTER NNA</t>
  </si>
  <si>
    <t xml:space="preserve">ṭa-varga (retroflex); the nasal of its varga, written for an anusvāra before a stop of that varga</t>
  </si>
  <si>
    <t xml:space="preserve">त</t>
  </si>
  <si>
    <t xml:space="preserve">𑒞</t>
  </si>
  <si>
    <t xml:space="preserve">ta</t>
  </si>
  <si>
    <t xml:space="preserve">/t̪/</t>
  </si>
  <si>
    <t xml:space="preserve">U+0924</t>
  </si>
  <si>
    <t xml:space="preserve">U+1149E</t>
  </si>
  <si>
    <t xml:space="preserve">DEVANAGARI LETTER TA</t>
  </si>
  <si>
    <t xml:space="preserve">TIRHUTA LETTER TA</t>
  </si>
  <si>
    <t xml:space="preserve">ta-varga (dental); a stop</t>
  </si>
  <si>
    <t xml:space="preserve">थ</t>
  </si>
  <si>
    <t xml:space="preserve">𑒟</t>
  </si>
  <si>
    <t xml:space="preserve">tha</t>
  </si>
  <si>
    <t xml:space="preserve">/t̪ʰ/</t>
  </si>
  <si>
    <t xml:space="preserve">U+0925</t>
  </si>
  <si>
    <t xml:space="preserve">U+1149F</t>
  </si>
  <si>
    <t xml:space="preserve">DEVANAGARI LETTER THA</t>
  </si>
  <si>
    <t xml:space="preserve">TIRHUTA LETTER THA</t>
  </si>
  <si>
    <t xml:space="preserve">द</t>
  </si>
  <si>
    <t xml:space="preserve">𑒠</t>
  </si>
  <si>
    <t xml:space="preserve">da</t>
  </si>
  <si>
    <t xml:space="preserve">/d̪/</t>
  </si>
  <si>
    <t xml:space="preserve">U+0926</t>
  </si>
  <si>
    <t xml:space="preserve">U+114A0</t>
  </si>
  <si>
    <t xml:space="preserve">DEVANAGARI LETTER DA</t>
  </si>
  <si>
    <t xml:space="preserve">TIRHUTA LETTER DA</t>
  </si>
  <si>
    <t xml:space="preserve">ध</t>
  </si>
  <si>
    <t xml:space="preserve">𑒡</t>
  </si>
  <si>
    <t xml:space="preserve">dha</t>
  </si>
  <si>
    <t xml:space="preserve">/d̪ʱ/</t>
  </si>
  <si>
    <t xml:space="preserve">U+0927</t>
  </si>
  <si>
    <t xml:space="preserve">U+114A1</t>
  </si>
  <si>
    <t xml:space="preserve">DEVANAGARI LETTER DHA</t>
  </si>
  <si>
    <t xml:space="preserve">TIRHUTA LETTER DHA</t>
  </si>
  <si>
    <t xml:space="preserve">न</t>
  </si>
  <si>
    <t xml:space="preserve">𑒢</t>
  </si>
  <si>
    <t xml:space="preserve">na</t>
  </si>
  <si>
    <t xml:space="preserve">/n/</t>
  </si>
  <si>
    <t xml:space="preserve">U+0928</t>
  </si>
  <si>
    <t xml:space="preserve">U+114A2</t>
  </si>
  <si>
    <t xml:space="preserve">DEVANAGARI LETTER NA</t>
  </si>
  <si>
    <t xml:space="preserve">TIRHUTA LETTER NA</t>
  </si>
  <si>
    <t xml:space="preserve">ta-varga (dental); the nasal of its varga, written for an anusvāra before a stop of that varga</t>
  </si>
  <si>
    <t xml:space="preserve">प</t>
  </si>
  <si>
    <t xml:space="preserve">𑒣</t>
  </si>
  <si>
    <t xml:space="preserve">pa</t>
  </si>
  <si>
    <t xml:space="preserve">/p/</t>
  </si>
  <si>
    <t xml:space="preserve">U+092A</t>
  </si>
  <si>
    <t xml:space="preserve">U+114A3</t>
  </si>
  <si>
    <t xml:space="preserve">DEVANAGARI LETTER PA</t>
  </si>
  <si>
    <t xml:space="preserve">TIRHUTA LETTER PA</t>
  </si>
  <si>
    <t xml:space="preserve">pa-varga (labial); a stop</t>
  </si>
  <si>
    <t xml:space="preserve">फ</t>
  </si>
  <si>
    <t xml:space="preserve">𑒤</t>
  </si>
  <si>
    <t xml:space="preserve">pha</t>
  </si>
  <si>
    <t xml:space="preserve">/pʰ/</t>
  </si>
  <si>
    <t xml:space="preserve">U+092B</t>
  </si>
  <si>
    <t xml:space="preserve">U+114A4</t>
  </si>
  <si>
    <t xml:space="preserve">DEVANAGARI LETTER PHA</t>
  </si>
  <si>
    <t xml:space="preserve">TIRHUTA LETTER PHA</t>
  </si>
  <si>
    <t xml:space="preserve">ब</t>
  </si>
  <si>
    <t xml:space="preserve">𑒥</t>
  </si>
  <si>
    <t xml:space="preserve">ba</t>
  </si>
  <si>
    <t xml:space="preserve">/b/</t>
  </si>
  <si>
    <t xml:space="preserve">U+092C</t>
  </si>
  <si>
    <t xml:space="preserve">U+114A5</t>
  </si>
  <si>
    <t xml:space="preserve">DEVANAGARI LETTER BA</t>
  </si>
  <si>
    <t xml:space="preserve">TIRHUTA LETTER BA</t>
  </si>
  <si>
    <t xml:space="preserve">भ</t>
  </si>
  <si>
    <t xml:space="preserve">𑒦</t>
  </si>
  <si>
    <t xml:space="preserve">bha</t>
  </si>
  <si>
    <t xml:space="preserve">/bʱ/</t>
  </si>
  <si>
    <t xml:space="preserve">U+092D</t>
  </si>
  <si>
    <t xml:space="preserve">U+114A6</t>
  </si>
  <si>
    <t xml:space="preserve">DEVANAGARI LETTER BHA</t>
  </si>
  <si>
    <t xml:space="preserve">TIRHUTA LETTER BHA</t>
  </si>
  <si>
    <t xml:space="preserve">म</t>
  </si>
  <si>
    <t xml:space="preserve">𑒧</t>
  </si>
  <si>
    <t xml:space="preserve">ma</t>
  </si>
  <si>
    <t xml:space="preserve">/m/</t>
  </si>
  <si>
    <t xml:space="preserve">U+092E</t>
  </si>
  <si>
    <t xml:space="preserve">U+114A7</t>
  </si>
  <si>
    <t xml:space="preserve">DEVANAGARI LETTER MA</t>
  </si>
  <si>
    <t xml:space="preserve">TIRHUTA LETTER MA</t>
  </si>
  <si>
    <t xml:space="preserve">pa-varga (labial); the nasal of its varga, written for an anusvāra before a stop of that varga</t>
  </si>
  <si>
    <t xml:space="preserve">य</t>
  </si>
  <si>
    <t xml:space="preserve">𑒨</t>
  </si>
  <si>
    <t xml:space="preserve">ya</t>
  </si>
  <si>
    <t xml:space="preserve">/j/</t>
  </si>
  <si>
    <t xml:space="preserve">U+092F</t>
  </si>
  <si>
    <t xml:space="preserve">U+114A8</t>
  </si>
  <si>
    <t xml:space="preserve">DEVANAGARI LETTER YA</t>
  </si>
  <si>
    <t xml:space="preserve">TIRHUTA LETTER YA</t>
  </si>
  <si>
    <t xml:space="preserve">semivowel; not a stop, so an anusvāra before it is kept</t>
  </si>
  <si>
    <t xml:space="preserve">र</t>
  </si>
  <si>
    <t xml:space="preserve">𑒩</t>
  </si>
  <si>
    <t xml:space="preserve">ra</t>
  </si>
  <si>
    <t xml:space="preserve">/r/</t>
  </si>
  <si>
    <t xml:space="preserve">U+0930</t>
  </si>
  <si>
    <t xml:space="preserve">U+114A9</t>
  </si>
  <si>
    <t xml:space="preserve">DEVANAGARI LETTER RA</t>
  </si>
  <si>
    <t xml:space="preserve">TIRHUTA LETTER RA</t>
  </si>
  <si>
    <t xml:space="preserve">ल</t>
  </si>
  <si>
    <t xml:space="preserve">𑒪</t>
  </si>
  <si>
    <t xml:space="preserve">la</t>
  </si>
  <si>
    <t xml:space="preserve">/l/</t>
  </si>
  <si>
    <t xml:space="preserve">U+0932</t>
  </si>
  <si>
    <t xml:space="preserve">U+114AA</t>
  </si>
  <si>
    <t xml:space="preserve">DEVANAGARI LETTER LA</t>
  </si>
  <si>
    <t xml:space="preserve">TIRHUTA LETTER LA</t>
  </si>
  <si>
    <t xml:space="preserve">व</t>
  </si>
  <si>
    <t xml:space="preserve">𑒫</t>
  </si>
  <si>
    <t xml:space="preserve">va</t>
  </si>
  <si>
    <t xml:space="preserve">/ʋ/</t>
  </si>
  <si>
    <t xml:space="preserve">U+0935</t>
  </si>
  <si>
    <t xml:space="preserve">U+114AB</t>
  </si>
  <si>
    <t xml:space="preserve">DEVANAGARI LETTER VA</t>
  </si>
  <si>
    <t xml:space="preserve">TIRHUTA LETTER VA</t>
  </si>
  <si>
    <t xml:space="preserve">श</t>
  </si>
  <si>
    <t xml:space="preserve">𑒬</t>
  </si>
  <si>
    <t xml:space="preserve">śa</t>
  </si>
  <si>
    <t xml:space="preserve">/ʃ/</t>
  </si>
  <si>
    <t xml:space="preserve">U+0936</t>
  </si>
  <si>
    <t xml:space="preserve">U+114AC</t>
  </si>
  <si>
    <t xml:space="preserve">DEVANAGARI LETTER SHA</t>
  </si>
  <si>
    <t xml:space="preserve">TIRHUTA LETTER SHA</t>
  </si>
  <si>
    <t xml:space="preserve">sibilant; not a stop, so an anusvāra before it is kept</t>
  </si>
  <si>
    <t xml:space="preserve">ष</t>
  </si>
  <si>
    <t xml:space="preserve">𑒭</t>
  </si>
  <si>
    <t xml:space="preserve">ṣa</t>
  </si>
  <si>
    <t xml:space="preserve">/ʂ/</t>
  </si>
  <si>
    <t xml:space="preserve">U+0937</t>
  </si>
  <si>
    <t xml:space="preserve">U+114AD</t>
  </si>
  <si>
    <t xml:space="preserve">DEVANAGARI LETTER SSA</t>
  </si>
  <si>
    <t xml:space="preserve">TIRHUTA LETTER SSA</t>
  </si>
  <si>
    <t xml:space="preserve">स</t>
  </si>
  <si>
    <t xml:space="preserve">𑒮</t>
  </si>
  <si>
    <t xml:space="preserve">sa</t>
  </si>
  <si>
    <t xml:space="preserve">/s/</t>
  </si>
  <si>
    <t xml:space="preserve">U+0938</t>
  </si>
  <si>
    <t xml:space="preserve">U+114AE</t>
  </si>
  <si>
    <t xml:space="preserve">DEVANAGARI LETTER SA</t>
  </si>
  <si>
    <t xml:space="preserve">TIRHUTA LETTER SA</t>
  </si>
  <si>
    <t xml:space="preserve">ह</t>
  </si>
  <si>
    <t xml:space="preserve">𑒯</t>
  </si>
  <si>
    <t xml:space="preserve">ha</t>
  </si>
  <si>
    <t xml:space="preserve">/ɦ/</t>
  </si>
  <si>
    <t xml:space="preserve">U+0939</t>
  </si>
  <si>
    <t xml:space="preserve">U+114AF</t>
  </si>
  <si>
    <t xml:space="preserve">DEVANAGARI LETTER HA</t>
  </si>
  <si>
    <t xml:space="preserve">TIRHUTA LETTER HA</t>
  </si>
  <si>
    <t xml:space="preserve">glottal fricative; not a stop, so an anusvāra before it is kept</t>
  </si>
  <si>
    <t xml:space="preserve">०</t>
  </si>
  <si>
    <t xml:space="preserve">𑓐</t>
  </si>
  <si>
    <t xml:space="preserve">Digit (Devanagari)</t>
  </si>
  <si>
    <t xml:space="preserve">0</t>
  </si>
  <si>
    <t xml:space="preserve">U+0966</t>
  </si>
  <si>
    <t xml:space="preserve">U+114D0</t>
  </si>
  <si>
    <t xml:space="preserve">DEVANAGARI DIGIT ZERO</t>
  </si>
  <si>
    <t xml:space="preserve">TIRHUTA DIGIT ZERO</t>
  </si>
  <si>
    <t xml:space="preserve">Nd</t>
  </si>
  <si>
    <t xml:space="preserve">Devanagari digit. The reverse conversion returns the ASCII digit.</t>
  </si>
  <si>
    <t xml:space="preserve">१</t>
  </si>
  <si>
    <t xml:space="preserve">𑓑</t>
  </si>
  <si>
    <t xml:space="preserve">1</t>
  </si>
  <si>
    <t xml:space="preserve">U+0967</t>
  </si>
  <si>
    <t xml:space="preserve">U+114D1</t>
  </si>
  <si>
    <t xml:space="preserve">DEVANAGARI DIGIT ONE</t>
  </si>
  <si>
    <t xml:space="preserve">TIRHUTA DIGIT ONE</t>
  </si>
  <si>
    <t xml:space="preserve">२</t>
  </si>
  <si>
    <t xml:space="preserve">𑓒</t>
  </si>
  <si>
    <t xml:space="preserve">2</t>
  </si>
  <si>
    <t xml:space="preserve">U+0968</t>
  </si>
  <si>
    <t xml:space="preserve">U+114D2</t>
  </si>
  <si>
    <t xml:space="preserve">DEVANAGARI DIGIT TWO</t>
  </si>
  <si>
    <t xml:space="preserve">TIRHUTA DIGIT TWO</t>
  </si>
  <si>
    <t xml:space="preserve">३</t>
  </si>
  <si>
    <t xml:space="preserve">𑓓</t>
  </si>
  <si>
    <t xml:space="preserve">3</t>
  </si>
  <si>
    <t xml:space="preserve">U+0969</t>
  </si>
  <si>
    <t xml:space="preserve">U+114D3</t>
  </si>
  <si>
    <t xml:space="preserve">DEVANAGARI DIGIT THREE</t>
  </si>
  <si>
    <t xml:space="preserve">TIRHUTA DIGIT THREE</t>
  </si>
  <si>
    <t xml:space="preserve">४</t>
  </si>
  <si>
    <t xml:space="preserve">𑓔</t>
  </si>
  <si>
    <t xml:space="preserve">4</t>
  </si>
  <si>
    <t xml:space="preserve">U+096A</t>
  </si>
  <si>
    <t xml:space="preserve">U+114D4</t>
  </si>
  <si>
    <t xml:space="preserve">DEVANAGARI DIGIT FOUR</t>
  </si>
  <si>
    <t xml:space="preserve">TIRHUTA DIGIT FOUR</t>
  </si>
  <si>
    <t xml:space="preserve">५</t>
  </si>
  <si>
    <t xml:space="preserve">𑓕</t>
  </si>
  <si>
    <t xml:space="preserve">5</t>
  </si>
  <si>
    <t xml:space="preserve">U+096B</t>
  </si>
  <si>
    <t xml:space="preserve">U+114D5</t>
  </si>
  <si>
    <t xml:space="preserve">DEVANAGARI DIGIT FIVE</t>
  </si>
  <si>
    <t xml:space="preserve">TIRHUTA DIGIT FIVE</t>
  </si>
  <si>
    <t xml:space="preserve">६</t>
  </si>
  <si>
    <t xml:space="preserve">𑓖</t>
  </si>
  <si>
    <t xml:space="preserve">6</t>
  </si>
  <si>
    <t xml:space="preserve">U+096C</t>
  </si>
  <si>
    <t xml:space="preserve">U+114D6</t>
  </si>
  <si>
    <t xml:space="preserve">DEVANAGARI DIGIT SIX</t>
  </si>
  <si>
    <t xml:space="preserve">TIRHUTA DIGIT SIX</t>
  </si>
  <si>
    <t xml:space="preserve">७</t>
  </si>
  <si>
    <t xml:space="preserve">𑓗</t>
  </si>
  <si>
    <t xml:space="preserve">7</t>
  </si>
  <si>
    <t xml:space="preserve">U+096D</t>
  </si>
  <si>
    <t xml:space="preserve">U+114D7</t>
  </si>
  <si>
    <t xml:space="preserve">DEVANAGARI DIGIT SEVEN</t>
  </si>
  <si>
    <t xml:space="preserve">TIRHUTA DIGIT SEVEN</t>
  </si>
  <si>
    <t xml:space="preserve">८</t>
  </si>
  <si>
    <t xml:space="preserve">𑓘</t>
  </si>
  <si>
    <t xml:space="preserve">8</t>
  </si>
  <si>
    <t xml:space="preserve">U+096E</t>
  </si>
  <si>
    <t xml:space="preserve">U+114D8</t>
  </si>
  <si>
    <t xml:space="preserve">DEVANAGARI DIGIT EIGHT</t>
  </si>
  <si>
    <t xml:space="preserve">TIRHUTA DIGIT EIGHT</t>
  </si>
  <si>
    <t xml:space="preserve">९</t>
  </si>
  <si>
    <t xml:space="preserve">𑓙</t>
  </si>
  <si>
    <t xml:space="preserve">9</t>
  </si>
  <si>
    <t xml:space="preserve">U+096F</t>
  </si>
  <si>
    <t xml:space="preserve">U+114D9</t>
  </si>
  <si>
    <t xml:space="preserve">DEVANAGARI DIGIT NINE</t>
  </si>
  <si>
    <t xml:space="preserve">TIRHUTA DIGIT NINE</t>
  </si>
  <si>
    <t xml:space="preserve">Digit (ASCII)</t>
  </si>
  <si>
    <t xml:space="preserve">U+0030</t>
  </si>
  <si>
    <t xml:space="preserve">DIGIT ZERO</t>
  </si>
  <si>
    <t xml:space="preserve">ASCII digit. It is converted to the Tirhuta digit as well.</t>
  </si>
  <si>
    <t xml:space="preserve">U+0031</t>
  </si>
  <si>
    <t xml:space="preserve">DIGIT ONE</t>
  </si>
  <si>
    <t xml:space="preserve">U+0032</t>
  </si>
  <si>
    <t xml:space="preserve">DIGIT TWO</t>
  </si>
  <si>
    <t xml:space="preserve">U+0033</t>
  </si>
  <si>
    <t xml:space="preserve">DIGIT THREE</t>
  </si>
  <si>
    <t xml:space="preserve">U+0034</t>
  </si>
  <si>
    <t xml:space="preserve">DIGIT FOUR</t>
  </si>
  <si>
    <t xml:space="preserve">U+0035</t>
  </si>
  <si>
    <t xml:space="preserve">DIGIT FIVE</t>
  </si>
  <si>
    <t xml:space="preserve">U+0036</t>
  </si>
  <si>
    <t xml:space="preserve">DIGIT SIX</t>
  </si>
  <si>
    <t xml:space="preserve">U+0037</t>
  </si>
  <si>
    <t xml:space="preserve">DIGIT SEVEN</t>
  </si>
  <si>
    <t xml:space="preserve">U+0038</t>
  </si>
  <si>
    <t xml:space="preserve">DIGIT EIGHT</t>
  </si>
  <si>
    <t xml:space="preserve">U+0039</t>
  </si>
  <si>
    <t xml:space="preserve">DIGIT NINE</t>
  </si>
  <si>
    <t xml:space="preserve">Varga</t>
  </si>
  <si>
    <t xml:space="preserve">Stop (Devanagari)</t>
  </si>
  <si>
    <t xml:space="preserve">Stop (Mithilakshara)</t>
  </si>
  <si>
    <t xml:space="preserve">Nasal conjunct (Devanagari)</t>
  </si>
  <si>
    <t xml:space="preserve">Nasal conjunct (Mithilakshara)</t>
  </si>
  <si>
    <t xml:space="preserve">Drawn in Noto Sans Tirhuta 2.003</t>
  </si>
  <si>
    <t xml:space="preserve">Example word (Devanagari)</t>
  </si>
  <si>
    <t xml:space="preserve">Example word (Mithilakshara)</t>
  </si>
  <si>
    <t xml:space="preserve">ka-varga</t>
  </si>
  <si>
    <t xml:space="preserve">ङ्क</t>
  </si>
  <si>
    <t xml:space="preserve">𑒓𑓂𑒏</t>
  </si>
  <si>
    <t xml:space="preserve">ṅka</t>
  </si>
  <si>
    <t xml:space="preserve">single ligature</t>
  </si>
  <si>
    <t xml:space="preserve">अङ्क</t>
  </si>
  <si>
    <t xml:space="preserve">𑒁𑒓𑓂𑒏</t>
  </si>
  <si>
    <t xml:space="preserve">ङ्ख</t>
  </si>
  <si>
    <t xml:space="preserve">𑒓𑓂𑒐</t>
  </si>
  <si>
    <t xml:space="preserve">ṅkha</t>
  </si>
  <si>
    <t xml:space="preserve">शङ्ख</t>
  </si>
  <si>
    <t xml:space="preserve">𑒬𑒓𑓂𑒐</t>
  </si>
  <si>
    <t xml:space="preserve">ङ्ग</t>
  </si>
  <si>
    <t xml:space="preserve">𑒓𑓂𑒑</t>
  </si>
  <si>
    <t xml:space="preserve">ṅga</t>
  </si>
  <si>
    <t xml:space="preserve">गङ्गा</t>
  </si>
  <si>
    <t xml:space="preserve">𑒑𑒓𑓂𑒑𑒰</t>
  </si>
  <si>
    <t xml:space="preserve">ङ्घ</t>
  </si>
  <si>
    <t xml:space="preserve">𑒓𑓂𑒒</t>
  </si>
  <si>
    <t xml:space="preserve">ṅgha</t>
  </si>
  <si>
    <t xml:space="preserve">सङ्घ</t>
  </si>
  <si>
    <t xml:space="preserve">𑒮𑒓𑓂𑒒</t>
  </si>
  <si>
    <t xml:space="preserve">ङ्ङ</t>
  </si>
  <si>
    <t xml:space="preserve">𑒓𑓂𑒓</t>
  </si>
  <si>
    <t xml:space="preserve">ṅṅa</t>
  </si>
  <si>
    <t xml:space="preserve">visible virāma</t>
  </si>
  <si>
    <t xml:space="preserve">ca-varga</t>
  </si>
  <si>
    <t xml:space="preserve">ञ्च</t>
  </si>
  <si>
    <t xml:space="preserve">𑒘𑓂𑒔</t>
  </si>
  <si>
    <t xml:space="preserve">ñca</t>
  </si>
  <si>
    <t xml:space="preserve">पञ्च</t>
  </si>
  <si>
    <t xml:space="preserve">𑒣𑒘𑓂𑒔</t>
  </si>
  <si>
    <t xml:space="preserve">ञ्छ</t>
  </si>
  <si>
    <t xml:space="preserve">𑒘𑓂𑒕</t>
  </si>
  <si>
    <t xml:space="preserve">ñcha</t>
  </si>
  <si>
    <t xml:space="preserve">वाञ्छा</t>
  </si>
  <si>
    <t xml:space="preserve">𑒫𑒰𑒘𑓂𑒕𑒰</t>
  </si>
  <si>
    <t xml:space="preserve">ञ्ज</t>
  </si>
  <si>
    <t xml:space="preserve">𑒘𑓂𑒖</t>
  </si>
  <si>
    <t xml:space="preserve">ñja</t>
  </si>
  <si>
    <t xml:space="preserve">रञ्जन</t>
  </si>
  <si>
    <t xml:space="preserve">𑒩𑒘𑓂𑒖𑒢</t>
  </si>
  <si>
    <t xml:space="preserve">ञ्झ</t>
  </si>
  <si>
    <t xml:space="preserve">𑒘𑓂𑒗</t>
  </si>
  <si>
    <t xml:space="preserve">ñjha</t>
  </si>
  <si>
    <t xml:space="preserve">झञ्झा</t>
  </si>
  <si>
    <t xml:space="preserve">𑒗𑒘𑓂𑒗𑒰</t>
  </si>
  <si>
    <t xml:space="preserve">ञ्ञ</t>
  </si>
  <si>
    <t xml:space="preserve">𑒘𑓂𑒘</t>
  </si>
  <si>
    <t xml:space="preserve">ñña</t>
  </si>
  <si>
    <t xml:space="preserve">ṭa-varga</t>
  </si>
  <si>
    <t xml:space="preserve">ण्ट</t>
  </si>
  <si>
    <t xml:space="preserve">𑒝𑓂𑒙</t>
  </si>
  <si>
    <t xml:space="preserve">ṇṭa</t>
  </si>
  <si>
    <t xml:space="preserve">घण्टा</t>
  </si>
  <si>
    <t xml:space="preserve">𑒒𑒝𑓂𑒙𑒰</t>
  </si>
  <si>
    <t xml:space="preserve">ण्ठ</t>
  </si>
  <si>
    <t xml:space="preserve">𑒝𑓂𑒚</t>
  </si>
  <si>
    <t xml:space="preserve">ṇṭha</t>
  </si>
  <si>
    <t xml:space="preserve">कण्ठ</t>
  </si>
  <si>
    <t xml:space="preserve">𑒏𑒝𑓂𑒚</t>
  </si>
  <si>
    <t xml:space="preserve">ण्ड</t>
  </si>
  <si>
    <t xml:space="preserve">𑒝𑓂𑒛</t>
  </si>
  <si>
    <t xml:space="preserve">ṇḍa</t>
  </si>
  <si>
    <t xml:space="preserve">दण्ड</t>
  </si>
  <si>
    <t xml:space="preserve">𑒠𑒝𑓂𑒛</t>
  </si>
  <si>
    <t xml:space="preserve">ण्ढ</t>
  </si>
  <si>
    <t xml:space="preserve">𑒝𑓂𑒜</t>
  </si>
  <si>
    <t xml:space="preserve">ṇḍha</t>
  </si>
  <si>
    <t xml:space="preserve">ण्ण</t>
  </si>
  <si>
    <t xml:space="preserve">𑒝𑓂𑒝</t>
  </si>
  <si>
    <t xml:space="preserve">ṇṇa</t>
  </si>
  <si>
    <t xml:space="preserve">ta-varga</t>
  </si>
  <si>
    <t xml:space="preserve">न्त</t>
  </si>
  <si>
    <t xml:space="preserve">𑒢𑓂𑒞</t>
  </si>
  <si>
    <t xml:space="preserve">nta</t>
  </si>
  <si>
    <t xml:space="preserve">अन्त</t>
  </si>
  <si>
    <t xml:space="preserve">𑒁𑒢𑓂𑒞</t>
  </si>
  <si>
    <t xml:space="preserve">न्थ</t>
  </si>
  <si>
    <t xml:space="preserve">𑒢𑓂𑒟</t>
  </si>
  <si>
    <t xml:space="preserve">ntha</t>
  </si>
  <si>
    <t xml:space="preserve">ग्रन्थ</t>
  </si>
  <si>
    <t xml:space="preserve">𑒑𑓂𑒩𑒢𑓂𑒟</t>
  </si>
  <si>
    <t xml:space="preserve">न्द</t>
  </si>
  <si>
    <t xml:space="preserve">𑒢𑓂𑒠</t>
  </si>
  <si>
    <t xml:space="preserve">nda</t>
  </si>
  <si>
    <t xml:space="preserve">वन्दना</t>
  </si>
  <si>
    <t xml:space="preserve">𑒫𑒢𑓂𑒠𑒢𑒰</t>
  </si>
  <si>
    <t xml:space="preserve">न्ध</t>
  </si>
  <si>
    <t xml:space="preserve">𑒢𑓂𑒡</t>
  </si>
  <si>
    <t xml:space="preserve">ndha</t>
  </si>
  <si>
    <t xml:space="preserve">बन्ध</t>
  </si>
  <si>
    <t xml:space="preserve">𑒥𑒢𑓂𑒡</t>
  </si>
  <si>
    <t xml:space="preserve">न्न</t>
  </si>
  <si>
    <t xml:space="preserve">𑒢𑓂𑒢</t>
  </si>
  <si>
    <t xml:space="preserve">nna</t>
  </si>
  <si>
    <t xml:space="preserve">अन्न</t>
  </si>
  <si>
    <t xml:space="preserve">𑒁𑒢𑓂𑒢</t>
  </si>
  <si>
    <t xml:space="preserve">pa-varga</t>
  </si>
  <si>
    <t xml:space="preserve">म्प</t>
  </si>
  <si>
    <t xml:space="preserve">𑒧𑓂𑒣</t>
  </si>
  <si>
    <t xml:space="preserve">mpa</t>
  </si>
  <si>
    <t xml:space="preserve">कम्प</t>
  </si>
  <si>
    <t xml:space="preserve">𑒏𑒧𑓂𑒣</t>
  </si>
  <si>
    <t xml:space="preserve">म्फ</t>
  </si>
  <si>
    <t xml:space="preserve">𑒧𑓂𑒤</t>
  </si>
  <si>
    <t xml:space="preserve">mpha</t>
  </si>
  <si>
    <t xml:space="preserve">म्ब</t>
  </si>
  <si>
    <t xml:space="preserve">𑒧𑓂𑒥</t>
  </si>
  <si>
    <t xml:space="preserve">mba</t>
  </si>
  <si>
    <t xml:space="preserve">half forms</t>
  </si>
  <si>
    <t xml:space="preserve">अम्बर</t>
  </si>
  <si>
    <t xml:space="preserve">𑒁𑒧𑓂𑒥𑒩</t>
  </si>
  <si>
    <t xml:space="preserve">म्भ</t>
  </si>
  <si>
    <t xml:space="preserve">𑒧𑓂𑒦</t>
  </si>
  <si>
    <t xml:space="preserve">mbha</t>
  </si>
  <si>
    <t xml:space="preserve">आरम्भ</t>
  </si>
  <si>
    <t xml:space="preserve">𑒂𑒩𑒧𑓂𑒦</t>
  </si>
  <si>
    <t xml:space="preserve">म्म</t>
  </si>
  <si>
    <t xml:space="preserve">𑒧𑓂𑒧</t>
  </si>
  <si>
    <t xml:space="preserve">mma</t>
  </si>
  <si>
    <t xml:space="preserve">सम्मान</t>
  </si>
  <si>
    <t xml:space="preserve">𑒮𑒧𑓂𑒧𑒰𑒢</t>
  </si>
  <si>
    <t xml:space="preserve">Maithili Lexicon</t>
  </si>
  <si>
    <t xml:space="preserve">Purpose</t>
  </si>
  <si>
    <t xml:space="preserve">Reference table of the Devanagari to Mithilakshara (Tirhuta) correspondences used by the Maithili Transliterator, with Unicode names, code points, IAST and IPA.</t>
  </si>
  <si>
    <t xml:space="preserve">Repository</t>
  </si>
  <si>
    <t xml:space="preserve">https://github.com/vijollobo/Maithili_transliterator</t>
  </si>
  <si>
    <t xml:space="preserve">Authoritative table</t>
  </si>
  <si>
    <t xml:space="preserve">mithilakshara.py in the repository. This workbook documents it; no program reads the workbook.</t>
  </si>
  <si>
    <t xml:space="preserve">Fonts</t>
  </si>
  <si>
    <t xml:space="preserve">Column B and the Mithilakshara columns need a font that covers the Tirhuta block, for example Noto Sans Tirhuta (https://github.com/notofonts/tirhuta). Without one, Excel shows empty boxes.</t>
  </si>
  <si>
    <t xml:space="preserve">Sheets</t>
  </si>
  <si>
    <t xml:space="preserve">Lexicon</t>
  </si>
  <si>
    <t xml:space="preserve">One row per entry of the conversion table: the 89 characters of Devanagari and their Tirhuta counterparts.</t>
  </si>
  <si>
    <t xml:space="preserve">Nasal conjuncts</t>
  </si>
  <si>
    <t xml:space="preserve">The 25 combinations of a varga's nasal, a virāma and a stop of that varga, which is what an anusvāra before a stop becomes when converting to Mithilakshara.</t>
  </si>
  <si>
    <t xml:space="preserve">This sheet.</t>
  </si>
  <si>
    <t xml:space="preserve">Columns of the Lexicon sheet</t>
  </si>
  <si>
    <t xml:space="preserve">Devanagari, Mithilakshara</t>
  </si>
  <si>
    <t xml:space="preserve">The pair of characters, exactly as the converter uses them (no invisible characters).</t>
  </si>
  <si>
    <t xml:space="preserve">Independent vowel, vowel sign, sign, consonant, or digit.</t>
  </si>
  <si>
    <t xml:space="preserve">International Alphabet of Sanskrit Transliteration. Consonant letters include the inherent a. Short e and short o (ĕ, ŏ) and the candrabindu (m with a combining candrabindu) follow ISO 15919, because IAST proper has no symbols for them.</t>
  </si>
  <si>
    <t xml:space="preserve">Conventional phonemic value of the letter (see sources below). Consonants are given without the inherent vowel /ə/. The anusvāra and candrabindu are shown with the IPA nasalisation diacritic.</t>
  </si>
  <si>
    <t xml:space="preserve">Code points</t>
  </si>
  <si>
    <t xml:space="preserve">Unicode code points of the Devanagari character and of the Tirhuta character.</t>
  </si>
  <si>
    <t xml:space="preserve">Unicode names</t>
  </si>
  <si>
    <t xml:space="preserve">Full Unicode character names. The two names are the same apart from the script prefix; the repository's test suite checks this for every entry.</t>
  </si>
  <si>
    <t xml:space="preserve">General category from the Unicode Character Database: Lo letter, Mc spacing mark, Mn nonspacing mark, Nd decimal digit.</t>
  </si>
  <si>
    <t xml:space="preserve">The varga or class of each consonant, how each sign is treated by the converter, and other remarks.</t>
  </si>
  <si>
    <t xml:space="preserve">Sources and conventions</t>
  </si>
  <si>
    <t xml:space="preserve">Unicode data</t>
  </si>
  <si>
    <t xml:space="preserve">Character names, code points and categories come from Python's unicodedata module (Unicode 15.0.0).</t>
  </si>
  <si>
    <t xml:space="preserve">Standard IAST; see the Columns section for the two exceptions.</t>
  </si>
  <si>
    <t xml:space="preserve">Consonant and vowel values follow the tables of the Wikipedia article 'Tirhuta script'. One adjustment: the article lists the vowel अ as /a/; here it is given as /ə/, to agree with the inherent vowel of the consonant letters. Values are conventional; actual pronunciation varies by dialect and context (for example, the inherent vowel is often not pronounced at the end of a word).</t>
  </si>
  <si>
    <t xml:space="preserve">Ligature column</t>
  </si>
  <si>
    <t xml:space="preserve">The 'Drawn in Noto Sans Tirhuta' column records how that font (version 2.003), shaped with HarfBuzz, draws each nasal conjunct. Other fonts and other versions may differ.</t>
  </si>
  <si>
    <t xml:space="preserve">Summary (formulas)</t>
  </si>
  <si>
    <t xml:space="preserve">Entries on the Lexicon sheet</t>
  </si>
  <si>
    <t xml:space="preserve">Check: categories add up to the total</t>
  </si>
  <si>
    <t xml:space="preserve">Nasal conjuncts listed</t>
  </si>
  <si>
    <t xml:space="preserve">Changes in this version</t>
  </si>
  <si>
    <t xml:space="preserve">Header row and new columns</t>
  </si>
  <si>
    <t xml:space="preserve">A header row was added, followed by columns C to K (category, IAST, IPA, code points, Unicode names, Unicode category, notes). Columns A and B keep the original pair.</t>
  </si>
  <si>
    <t xml:space="preserve">Invisible characters removed</t>
  </si>
  <si>
    <t xml:space="preserve">The previous version had a left-to-right mark (U+200E) in 3 cells of column B, a no-break space (U+00A0) in 20 cells of column B, and a trailing space in cell B5. All were removed. The same three entries carried the same marks in earlier versions of the scripts, where they broke conjunct formation.</t>
  </si>
  <si>
    <t xml:space="preserve">Digits stored as text</t>
  </si>
  <si>
    <t xml:space="preserve">The ten Devanagari digits and the ten ASCII digits were stored as the numbers 0 to 9 (the Devanagari ones shown through a number format). They are now stored as text, as the characters that the converter uses.</t>
  </si>
  <si>
    <t xml:space="preserve">Final row removed</t>
  </si>
  <si>
    <t xml:space="preserve">The last row mapped a space to a space. The converter passes spaces through unchanged, so the row was dropped.</t>
  </si>
  <si>
    <t xml:space="preserve">New sheets</t>
  </si>
  <si>
    <t xml:space="preserve">The Nasal conjuncts and Notes sheets are new.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</si>
</sst>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4"/>
      <name val="Nirmala UI"/>
      <family val="0"/>
      <charset val="1"/>
    </font>
    <font>
      <sz val="14"/>
      <name val="Noto Sans Tirhuta"/>
      <family val="2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5C9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B5C9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B5C9E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9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44"/>
    <col collapsed="false" customWidth="true" hidden="false" outlineLevel="0" max="9" min="9" style="0" width="40"/>
    <col collapsed="false" customWidth="true" hidden="false" outlineLevel="0" max="10" min="10" style="0" width="10"/>
    <col collapsed="false" customWidth="true" hidden="false" outlineLevel="0" max="11" min="11" style="0" width="9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0" hidden="false" customHeight="true" outlineLevel="0" collapsed="false">
      <c r="A2" s="2" t="s">
        <v>11</v>
      </c>
      <c r="B2" s="3" t="s">
        <v>12</v>
      </c>
      <c r="C2" s="4" t="s">
        <v>13</v>
      </c>
      <c r="D2" s="5" t="s">
        <v>14</v>
      </c>
      <c r="E2" s="5" t="s">
        <v>15</v>
      </c>
      <c r="F2" s="6" t="s">
        <v>16</v>
      </c>
      <c r="G2" s="6" t="s">
        <v>17</v>
      </c>
      <c r="H2" s="4" t="s">
        <v>18</v>
      </c>
      <c r="I2" s="4" t="s">
        <v>19</v>
      </c>
      <c r="J2" s="6" t="s">
        <v>20</v>
      </c>
      <c r="K2" s="4" t="s">
        <v>21</v>
      </c>
    </row>
    <row r="3" customFormat="false" ht="30" hidden="false" customHeight="true" outlineLevel="0" collapsed="false">
      <c r="A3" s="2" t="s">
        <v>22</v>
      </c>
      <c r="B3" s="3" t="s">
        <v>23</v>
      </c>
      <c r="C3" s="4" t="s">
        <v>13</v>
      </c>
      <c r="D3" s="5" t="s">
        <v>24</v>
      </c>
      <c r="E3" s="5" t="s">
        <v>25</v>
      </c>
      <c r="F3" s="6" t="s">
        <v>26</v>
      </c>
      <c r="G3" s="6" t="s">
        <v>27</v>
      </c>
      <c r="H3" s="4" t="s">
        <v>28</v>
      </c>
      <c r="I3" s="4" t="s">
        <v>29</v>
      </c>
      <c r="J3" s="6" t="s">
        <v>20</v>
      </c>
      <c r="K3" s="4" t="s">
        <v>30</v>
      </c>
    </row>
    <row r="4" customFormat="false" ht="30" hidden="false" customHeight="true" outlineLevel="0" collapsed="false">
      <c r="A4" s="2" t="s">
        <v>31</v>
      </c>
      <c r="B4" s="3" t="s">
        <v>32</v>
      </c>
      <c r="C4" s="4" t="s">
        <v>13</v>
      </c>
      <c r="D4" s="5" t="s">
        <v>33</v>
      </c>
      <c r="E4" s="5" t="s">
        <v>34</v>
      </c>
      <c r="F4" s="6" t="s">
        <v>35</v>
      </c>
      <c r="G4" s="6" t="s">
        <v>36</v>
      </c>
      <c r="H4" s="4" t="s">
        <v>37</v>
      </c>
      <c r="I4" s="4" t="s">
        <v>38</v>
      </c>
      <c r="J4" s="6" t="s">
        <v>20</v>
      </c>
      <c r="K4" s="4" t="s">
        <v>39</v>
      </c>
    </row>
    <row r="5" customFormat="false" ht="30" hidden="false" customHeight="true" outlineLevel="0" collapsed="false">
      <c r="A5" s="2" t="s">
        <v>40</v>
      </c>
      <c r="B5" s="3" t="s">
        <v>41</v>
      </c>
      <c r="C5" s="4" t="s">
        <v>13</v>
      </c>
      <c r="D5" s="5" t="s">
        <v>42</v>
      </c>
      <c r="E5" s="5" t="s">
        <v>43</v>
      </c>
      <c r="F5" s="6" t="s">
        <v>44</v>
      </c>
      <c r="G5" s="6" t="s">
        <v>45</v>
      </c>
      <c r="H5" s="4" t="s">
        <v>46</v>
      </c>
      <c r="I5" s="4" t="s">
        <v>47</v>
      </c>
      <c r="J5" s="6" t="s">
        <v>20</v>
      </c>
      <c r="K5" s="4" t="s">
        <v>48</v>
      </c>
    </row>
    <row r="6" customFormat="false" ht="30" hidden="false" customHeight="true" outlineLevel="0" collapsed="false">
      <c r="A6" s="2" t="s">
        <v>49</v>
      </c>
      <c r="B6" s="3" t="s">
        <v>50</v>
      </c>
      <c r="C6" s="4" t="s">
        <v>13</v>
      </c>
      <c r="D6" s="5" t="s">
        <v>51</v>
      </c>
      <c r="E6" s="5" t="s">
        <v>52</v>
      </c>
      <c r="F6" s="6" t="s">
        <v>53</v>
      </c>
      <c r="G6" s="6" t="s">
        <v>54</v>
      </c>
      <c r="H6" s="4" t="s">
        <v>55</v>
      </c>
      <c r="I6" s="4" t="s">
        <v>56</v>
      </c>
      <c r="J6" s="6" t="s">
        <v>20</v>
      </c>
      <c r="K6" s="4" t="s">
        <v>57</v>
      </c>
    </row>
    <row r="7" customFormat="false" ht="30" hidden="false" customHeight="true" outlineLevel="0" collapsed="false">
      <c r="A7" s="2" t="s">
        <v>58</v>
      </c>
      <c r="B7" s="3" t="s">
        <v>59</v>
      </c>
      <c r="C7" s="4" t="s">
        <v>13</v>
      </c>
      <c r="D7" s="5" t="s">
        <v>60</v>
      </c>
      <c r="E7" s="5" t="s">
        <v>61</v>
      </c>
      <c r="F7" s="6" t="s">
        <v>62</v>
      </c>
      <c r="G7" s="6" t="s">
        <v>63</v>
      </c>
      <c r="H7" s="4" t="s">
        <v>64</v>
      </c>
      <c r="I7" s="4" t="s">
        <v>65</v>
      </c>
      <c r="J7" s="6" t="s">
        <v>20</v>
      </c>
      <c r="K7" s="4" t="s">
        <v>66</v>
      </c>
    </row>
    <row r="8" customFormat="false" ht="30" hidden="false" customHeight="true" outlineLevel="0" collapsed="false">
      <c r="A8" s="2" t="s">
        <v>67</v>
      </c>
      <c r="B8" s="3" t="s">
        <v>68</v>
      </c>
      <c r="C8" s="4" t="s">
        <v>13</v>
      </c>
      <c r="D8" s="5" t="s">
        <v>69</v>
      </c>
      <c r="E8" s="5" t="s">
        <v>70</v>
      </c>
      <c r="F8" s="6" t="s">
        <v>71</v>
      </c>
      <c r="G8" s="6" t="s">
        <v>72</v>
      </c>
      <c r="H8" s="4" t="s">
        <v>73</v>
      </c>
      <c r="I8" s="4" t="s">
        <v>74</v>
      </c>
      <c r="J8" s="6" t="s">
        <v>20</v>
      </c>
      <c r="K8" s="4" t="s">
        <v>75</v>
      </c>
    </row>
    <row r="9" customFormat="false" ht="30" hidden="false" customHeight="true" outlineLevel="0" collapsed="false">
      <c r="A9" s="2" t="s">
        <v>76</v>
      </c>
      <c r="B9" s="3" t="s">
        <v>77</v>
      </c>
      <c r="C9" s="4" t="s">
        <v>13</v>
      </c>
      <c r="D9" s="5" t="s">
        <v>78</v>
      </c>
      <c r="E9" s="5" t="s">
        <v>79</v>
      </c>
      <c r="F9" s="6" t="s">
        <v>80</v>
      </c>
      <c r="G9" s="6" t="s">
        <v>81</v>
      </c>
      <c r="H9" s="4" t="s">
        <v>82</v>
      </c>
      <c r="I9" s="4" t="s">
        <v>83</v>
      </c>
      <c r="J9" s="6" t="s">
        <v>20</v>
      </c>
      <c r="K9" s="4" t="s">
        <v>84</v>
      </c>
    </row>
    <row r="10" customFormat="false" ht="30" hidden="false" customHeight="true" outlineLevel="0" collapsed="false">
      <c r="A10" s="2" t="s">
        <v>85</v>
      </c>
      <c r="B10" s="3" t="s">
        <v>86</v>
      </c>
      <c r="C10" s="4" t="s">
        <v>13</v>
      </c>
      <c r="D10" s="5" t="s">
        <v>87</v>
      </c>
      <c r="E10" s="5" t="s">
        <v>88</v>
      </c>
      <c r="F10" s="6" t="s">
        <v>89</v>
      </c>
      <c r="G10" s="6" t="s">
        <v>90</v>
      </c>
      <c r="H10" s="4" t="s">
        <v>91</v>
      </c>
      <c r="I10" s="4" t="s">
        <v>92</v>
      </c>
      <c r="J10" s="6" t="s">
        <v>20</v>
      </c>
      <c r="K10" s="4" t="s">
        <v>93</v>
      </c>
    </row>
    <row r="11" customFormat="false" ht="30" hidden="false" customHeight="true" outlineLevel="0" collapsed="false">
      <c r="A11" s="2" t="s">
        <v>94</v>
      </c>
      <c r="B11" s="3" t="s">
        <v>95</v>
      </c>
      <c r="C11" s="4" t="s">
        <v>13</v>
      </c>
      <c r="D11" s="5" t="s">
        <v>96</v>
      </c>
      <c r="E11" s="5" t="s">
        <v>97</v>
      </c>
      <c r="F11" s="6" t="s">
        <v>98</v>
      </c>
      <c r="G11" s="6" t="s">
        <v>99</v>
      </c>
      <c r="H11" s="4" t="s">
        <v>100</v>
      </c>
      <c r="I11" s="4" t="s">
        <v>101</v>
      </c>
      <c r="J11" s="6" t="s">
        <v>20</v>
      </c>
      <c r="K11" s="4" t="s">
        <v>102</v>
      </c>
    </row>
    <row r="12" customFormat="false" ht="30" hidden="false" customHeight="true" outlineLevel="0" collapsed="false">
      <c r="A12" s="2" t="s">
        <v>103</v>
      </c>
      <c r="B12" s="3" t="s">
        <v>104</v>
      </c>
      <c r="C12" s="4" t="s">
        <v>13</v>
      </c>
      <c r="D12" s="5" t="s">
        <v>105</v>
      </c>
      <c r="E12" s="5" t="s">
        <v>106</v>
      </c>
      <c r="F12" s="6" t="s">
        <v>107</v>
      </c>
      <c r="G12" s="6" t="s">
        <v>108</v>
      </c>
      <c r="H12" s="4" t="s">
        <v>109</v>
      </c>
      <c r="I12" s="4" t="s">
        <v>110</v>
      </c>
      <c r="J12" s="6" t="s">
        <v>20</v>
      </c>
      <c r="K12" s="4" t="s">
        <v>111</v>
      </c>
    </row>
    <row r="13" customFormat="false" ht="30" hidden="false" customHeight="true" outlineLevel="0" collapsed="false">
      <c r="A13" s="2" t="s">
        <v>112</v>
      </c>
      <c r="B13" s="3" t="s">
        <v>113</v>
      </c>
      <c r="C13" s="4" t="s">
        <v>13</v>
      </c>
      <c r="D13" s="5" t="s">
        <v>114</v>
      </c>
      <c r="E13" s="5" t="s">
        <v>115</v>
      </c>
      <c r="F13" s="6" t="s">
        <v>116</v>
      </c>
      <c r="G13" s="6" t="s">
        <v>117</v>
      </c>
      <c r="H13" s="4" t="s">
        <v>118</v>
      </c>
      <c r="I13" s="4" t="s">
        <v>119</v>
      </c>
      <c r="J13" s="6" t="s">
        <v>20</v>
      </c>
      <c r="K13" s="4" t="s">
        <v>120</v>
      </c>
    </row>
    <row r="14" customFormat="false" ht="30" hidden="false" customHeight="true" outlineLevel="0" collapsed="false">
      <c r="A14" s="2" t="s">
        <v>121</v>
      </c>
      <c r="B14" s="3" t="s">
        <v>122</v>
      </c>
      <c r="C14" s="4" t="s">
        <v>13</v>
      </c>
      <c r="D14" s="5" t="s">
        <v>123</v>
      </c>
      <c r="E14" s="5" t="s">
        <v>124</v>
      </c>
      <c r="F14" s="6" t="s">
        <v>125</v>
      </c>
      <c r="G14" s="6" t="s">
        <v>126</v>
      </c>
      <c r="H14" s="4" t="s">
        <v>127</v>
      </c>
      <c r="I14" s="4" t="s">
        <v>128</v>
      </c>
      <c r="J14" s="6" t="s">
        <v>20</v>
      </c>
      <c r="K14" s="4" t="s">
        <v>129</v>
      </c>
    </row>
    <row r="15" customFormat="false" ht="30" hidden="false" customHeight="true" outlineLevel="0" collapsed="false">
      <c r="A15" s="2" t="s">
        <v>130</v>
      </c>
      <c r="B15" s="3" t="s">
        <v>131</v>
      </c>
      <c r="C15" s="4" t="s">
        <v>13</v>
      </c>
      <c r="D15" s="5" t="s">
        <v>132</v>
      </c>
      <c r="E15" s="5" t="s">
        <v>133</v>
      </c>
      <c r="F15" s="6" t="s">
        <v>134</v>
      </c>
      <c r="G15" s="6" t="s">
        <v>135</v>
      </c>
      <c r="H15" s="4" t="s">
        <v>136</v>
      </c>
      <c r="I15" s="4" t="s">
        <v>137</v>
      </c>
      <c r="J15" s="6" t="s">
        <v>20</v>
      </c>
      <c r="K15" s="4" t="s">
        <v>138</v>
      </c>
    </row>
    <row r="16" customFormat="false" ht="30" hidden="false" customHeight="true" outlineLevel="0" collapsed="false">
      <c r="A16" s="2" t="s">
        <v>139</v>
      </c>
      <c r="B16" s="3" t="s">
        <v>140</v>
      </c>
      <c r="C16" s="4" t="s">
        <v>141</v>
      </c>
      <c r="D16" s="5" t="s">
        <v>24</v>
      </c>
      <c r="E16" s="5" t="s">
        <v>25</v>
      </c>
      <c r="F16" s="6" t="s">
        <v>142</v>
      </c>
      <c r="G16" s="6" t="s">
        <v>143</v>
      </c>
      <c r="H16" s="4" t="s">
        <v>144</v>
      </c>
      <c r="I16" s="4" t="s">
        <v>145</v>
      </c>
      <c r="J16" s="6" t="s">
        <v>146</v>
      </c>
      <c r="K16" s="4" t="s">
        <v>147</v>
      </c>
    </row>
    <row r="17" customFormat="false" ht="30" hidden="false" customHeight="true" outlineLevel="0" collapsed="false">
      <c r="A17" s="2" t="s">
        <v>148</v>
      </c>
      <c r="B17" s="3" t="s">
        <v>149</v>
      </c>
      <c r="C17" s="4" t="s">
        <v>141</v>
      </c>
      <c r="D17" s="5" t="s">
        <v>33</v>
      </c>
      <c r="E17" s="5" t="s">
        <v>34</v>
      </c>
      <c r="F17" s="6" t="s">
        <v>150</v>
      </c>
      <c r="G17" s="6" t="s">
        <v>151</v>
      </c>
      <c r="H17" s="4" t="s">
        <v>152</v>
      </c>
      <c r="I17" s="4" t="s">
        <v>153</v>
      </c>
      <c r="J17" s="6" t="s">
        <v>146</v>
      </c>
      <c r="K17" s="4" t="s">
        <v>154</v>
      </c>
    </row>
    <row r="18" customFormat="false" ht="30" hidden="false" customHeight="true" outlineLevel="0" collapsed="false">
      <c r="A18" s="2" t="s">
        <v>155</v>
      </c>
      <c r="B18" s="3" t="s">
        <v>156</v>
      </c>
      <c r="C18" s="4" t="s">
        <v>141</v>
      </c>
      <c r="D18" s="5" t="s">
        <v>42</v>
      </c>
      <c r="E18" s="5" t="s">
        <v>43</v>
      </c>
      <c r="F18" s="6" t="s">
        <v>157</v>
      </c>
      <c r="G18" s="6" t="s">
        <v>158</v>
      </c>
      <c r="H18" s="4" t="s">
        <v>159</v>
      </c>
      <c r="I18" s="4" t="s">
        <v>160</v>
      </c>
      <c r="J18" s="6" t="s">
        <v>146</v>
      </c>
      <c r="K18" s="4" t="s">
        <v>161</v>
      </c>
    </row>
    <row r="19" customFormat="false" ht="30" hidden="false" customHeight="true" outlineLevel="0" collapsed="false">
      <c r="A19" s="2" t="s">
        <v>162</v>
      </c>
      <c r="B19" s="3" t="s">
        <v>163</v>
      </c>
      <c r="C19" s="4" t="s">
        <v>141</v>
      </c>
      <c r="D19" s="5" t="s">
        <v>51</v>
      </c>
      <c r="E19" s="5" t="s">
        <v>52</v>
      </c>
      <c r="F19" s="6" t="s">
        <v>164</v>
      </c>
      <c r="G19" s="6" t="s">
        <v>165</v>
      </c>
      <c r="H19" s="4" t="s">
        <v>166</v>
      </c>
      <c r="I19" s="4" t="s">
        <v>167</v>
      </c>
      <c r="J19" s="6" t="s">
        <v>168</v>
      </c>
      <c r="K19" s="4" t="s">
        <v>169</v>
      </c>
    </row>
    <row r="20" customFormat="false" ht="30" hidden="false" customHeight="true" outlineLevel="0" collapsed="false">
      <c r="A20" s="2" t="s">
        <v>170</v>
      </c>
      <c r="B20" s="3" t="s">
        <v>171</v>
      </c>
      <c r="C20" s="4" t="s">
        <v>141</v>
      </c>
      <c r="D20" s="5" t="s">
        <v>60</v>
      </c>
      <c r="E20" s="5" t="s">
        <v>61</v>
      </c>
      <c r="F20" s="6" t="s">
        <v>172</v>
      </c>
      <c r="G20" s="6" t="s">
        <v>173</v>
      </c>
      <c r="H20" s="4" t="s">
        <v>174</v>
      </c>
      <c r="I20" s="4" t="s">
        <v>175</v>
      </c>
      <c r="J20" s="6" t="s">
        <v>168</v>
      </c>
      <c r="K20" s="4" t="s">
        <v>176</v>
      </c>
    </row>
    <row r="21" customFormat="false" ht="30" hidden="false" customHeight="true" outlineLevel="0" collapsed="false">
      <c r="A21" s="2" t="s">
        <v>177</v>
      </c>
      <c r="B21" s="3" t="s">
        <v>178</v>
      </c>
      <c r="C21" s="4" t="s">
        <v>141</v>
      </c>
      <c r="D21" s="5" t="s">
        <v>69</v>
      </c>
      <c r="E21" s="5" t="s">
        <v>70</v>
      </c>
      <c r="F21" s="6" t="s">
        <v>179</v>
      </c>
      <c r="G21" s="6" t="s">
        <v>180</v>
      </c>
      <c r="H21" s="4" t="s">
        <v>181</v>
      </c>
      <c r="I21" s="4" t="s">
        <v>182</v>
      </c>
      <c r="J21" s="6" t="s">
        <v>168</v>
      </c>
      <c r="K21" s="4" t="s">
        <v>183</v>
      </c>
    </row>
    <row r="22" customFormat="false" ht="30" hidden="false" customHeight="true" outlineLevel="0" collapsed="false">
      <c r="A22" s="2" t="s">
        <v>184</v>
      </c>
      <c r="B22" s="3" t="s">
        <v>185</v>
      </c>
      <c r="C22" s="4" t="s">
        <v>141</v>
      </c>
      <c r="D22" s="5" t="s">
        <v>78</v>
      </c>
      <c r="E22" s="5" t="s">
        <v>79</v>
      </c>
      <c r="F22" s="6" t="s">
        <v>186</v>
      </c>
      <c r="G22" s="6" t="s">
        <v>187</v>
      </c>
      <c r="H22" s="4" t="s">
        <v>188</v>
      </c>
      <c r="I22" s="4" t="s">
        <v>189</v>
      </c>
      <c r="J22" s="6" t="s">
        <v>168</v>
      </c>
      <c r="K22" s="4" t="s">
        <v>190</v>
      </c>
    </row>
    <row r="23" customFormat="false" ht="30" hidden="false" customHeight="true" outlineLevel="0" collapsed="false">
      <c r="A23" s="2" t="s">
        <v>191</v>
      </c>
      <c r="B23" s="3" t="s">
        <v>192</v>
      </c>
      <c r="C23" s="4" t="s">
        <v>141</v>
      </c>
      <c r="D23" s="5" t="s">
        <v>87</v>
      </c>
      <c r="E23" s="5" t="s">
        <v>88</v>
      </c>
      <c r="F23" s="6" t="s">
        <v>193</v>
      </c>
      <c r="G23" s="6" t="s">
        <v>194</v>
      </c>
      <c r="H23" s="4" t="s">
        <v>195</v>
      </c>
      <c r="I23" s="4" t="s">
        <v>196</v>
      </c>
      <c r="J23" s="6" t="s">
        <v>168</v>
      </c>
      <c r="K23" s="4" t="s">
        <v>197</v>
      </c>
    </row>
    <row r="24" customFormat="false" ht="30" hidden="false" customHeight="true" outlineLevel="0" collapsed="false">
      <c r="A24" s="2" t="s">
        <v>198</v>
      </c>
      <c r="B24" s="3" t="s">
        <v>199</v>
      </c>
      <c r="C24" s="4" t="s">
        <v>141</v>
      </c>
      <c r="D24" s="5" t="s">
        <v>96</v>
      </c>
      <c r="E24" s="5" t="s">
        <v>97</v>
      </c>
      <c r="F24" s="6" t="s">
        <v>200</v>
      </c>
      <c r="G24" s="6" t="s">
        <v>201</v>
      </c>
      <c r="H24" s="4" t="s">
        <v>202</v>
      </c>
      <c r="I24" s="4" t="s">
        <v>203</v>
      </c>
      <c r="J24" s="6" t="s">
        <v>168</v>
      </c>
      <c r="K24" s="4" t="s">
        <v>204</v>
      </c>
    </row>
    <row r="25" customFormat="false" ht="30" hidden="false" customHeight="true" outlineLevel="0" collapsed="false">
      <c r="A25" s="2" t="s">
        <v>205</v>
      </c>
      <c r="B25" s="3" t="s">
        <v>206</v>
      </c>
      <c r="C25" s="4" t="s">
        <v>141</v>
      </c>
      <c r="D25" s="5" t="s">
        <v>105</v>
      </c>
      <c r="E25" s="5" t="s">
        <v>106</v>
      </c>
      <c r="F25" s="6" t="s">
        <v>207</v>
      </c>
      <c r="G25" s="6" t="s">
        <v>208</v>
      </c>
      <c r="H25" s="4" t="s">
        <v>209</v>
      </c>
      <c r="I25" s="4" t="s">
        <v>210</v>
      </c>
      <c r="J25" s="6" t="s">
        <v>211</v>
      </c>
      <c r="K25" s="4" t="s">
        <v>212</v>
      </c>
    </row>
    <row r="26" customFormat="false" ht="30" hidden="false" customHeight="true" outlineLevel="0" collapsed="false">
      <c r="A26" s="2" t="s">
        <v>213</v>
      </c>
      <c r="B26" s="3" t="s">
        <v>214</v>
      </c>
      <c r="C26" s="4" t="s">
        <v>141</v>
      </c>
      <c r="D26" s="5" t="s">
        <v>114</v>
      </c>
      <c r="E26" s="5" t="s">
        <v>115</v>
      </c>
      <c r="F26" s="6" t="s">
        <v>215</v>
      </c>
      <c r="G26" s="6" t="s">
        <v>216</v>
      </c>
      <c r="H26" s="4" t="s">
        <v>217</v>
      </c>
      <c r="I26" s="4" t="s">
        <v>218</v>
      </c>
      <c r="J26" s="6" t="s">
        <v>211</v>
      </c>
      <c r="K26" s="4" t="s">
        <v>219</v>
      </c>
    </row>
    <row r="27" customFormat="false" ht="30" hidden="false" customHeight="true" outlineLevel="0" collapsed="false">
      <c r="A27" s="2" t="s">
        <v>220</v>
      </c>
      <c r="B27" s="3" t="s">
        <v>221</v>
      </c>
      <c r="C27" s="4" t="s">
        <v>141</v>
      </c>
      <c r="D27" s="5" t="s">
        <v>123</v>
      </c>
      <c r="E27" s="5" t="s">
        <v>124</v>
      </c>
      <c r="F27" s="6" t="s">
        <v>222</v>
      </c>
      <c r="G27" s="6" t="s">
        <v>223</v>
      </c>
      <c r="H27" s="4" t="s">
        <v>224</v>
      </c>
      <c r="I27" s="4" t="s">
        <v>225</v>
      </c>
      <c r="J27" s="6" t="s">
        <v>146</v>
      </c>
      <c r="K27" s="4" t="s">
        <v>226</v>
      </c>
    </row>
    <row r="28" customFormat="false" ht="30" hidden="false" customHeight="true" outlineLevel="0" collapsed="false">
      <c r="A28" s="2" t="s">
        <v>227</v>
      </c>
      <c r="B28" s="3" t="s">
        <v>228</v>
      </c>
      <c r="C28" s="4" t="s">
        <v>141</v>
      </c>
      <c r="D28" s="5" t="s">
        <v>132</v>
      </c>
      <c r="E28" s="5" t="s">
        <v>133</v>
      </c>
      <c r="F28" s="6" t="s">
        <v>229</v>
      </c>
      <c r="G28" s="6" t="s">
        <v>230</v>
      </c>
      <c r="H28" s="4" t="s">
        <v>231</v>
      </c>
      <c r="I28" s="4" t="s">
        <v>232</v>
      </c>
      <c r="J28" s="6" t="s">
        <v>146</v>
      </c>
      <c r="K28" s="4" t="s">
        <v>233</v>
      </c>
    </row>
    <row r="29" customFormat="false" ht="43.5" hidden="false" customHeight="true" outlineLevel="0" collapsed="false">
      <c r="A29" s="2" t="s">
        <v>234</v>
      </c>
      <c r="B29" s="3" t="s">
        <v>235</v>
      </c>
      <c r="C29" s="4" t="s">
        <v>141</v>
      </c>
      <c r="D29" s="5" t="s">
        <v>236</v>
      </c>
      <c r="E29" s="5" t="s">
        <v>237</v>
      </c>
      <c r="F29" s="6" t="s">
        <v>238</v>
      </c>
      <c r="G29" s="6" t="s">
        <v>239</v>
      </c>
      <c r="H29" s="4" t="s">
        <v>240</v>
      </c>
      <c r="I29" s="4" t="s">
        <v>241</v>
      </c>
      <c r="J29" s="6" t="s">
        <v>168</v>
      </c>
      <c r="K29" s="4" t="s">
        <v>242</v>
      </c>
    </row>
    <row r="30" customFormat="false" ht="43.5" hidden="false" customHeight="true" outlineLevel="0" collapsed="false">
      <c r="A30" s="2" t="s">
        <v>243</v>
      </c>
      <c r="B30" s="3" t="s">
        <v>244</v>
      </c>
      <c r="C30" s="4" t="s">
        <v>141</v>
      </c>
      <c r="D30" s="5" t="s">
        <v>245</v>
      </c>
      <c r="E30" s="5" t="s">
        <v>246</v>
      </c>
      <c r="F30" s="6" t="s">
        <v>247</v>
      </c>
      <c r="G30" s="6" t="s">
        <v>248</v>
      </c>
      <c r="H30" s="4" t="s">
        <v>249</v>
      </c>
      <c r="I30" s="4" t="s">
        <v>250</v>
      </c>
      <c r="J30" s="6" t="s">
        <v>146</v>
      </c>
      <c r="K30" s="4" t="s">
        <v>251</v>
      </c>
    </row>
    <row r="31" customFormat="false" ht="43.5" hidden="false" customHeight="true" outlineLevel="0" collapsed="false">
      <c r="A31" s="2" t="s">
        <v>252</v>
      </c>
      <c r="B31" s="3" t="s">
        <v>253</v>
      </c>
      <c r="C31" s="4" t="s">
        <v>254</v>
      </c>
      <c r="D31" s="5" t="s">
        <v>255</v>
      </c>
      <c r="E31" s="5" t="s">
        <v>256</v>
      </c>
      <c r="F31" s="6" t="s">
        <v>257</v>
      </c>
      <c r="G31" s="6" t="s">
        <v>258</v>
      </c>
      <c r="H31" s="4" t="s">
        <v>259</v>
      </c>
      <c r="I31" s="4" t="s">
        <v>260</v>
      </c>
      <c r="J31" s="6" t="s">
        <v>168</v>
      </c>
      <c r="K31" s="4" t="s">
        <v>261</v>
      </c>
    </row>
    <row r="32" customFormat="false" ht="30" hidden="false" customHeight="true" outlineLevel="0" collapsed="false">
      <c r="A32" s="2" t="s">
        <v>262</v>
      </c>
      <c r="B32" s="3" t="s">
        <v>263</v>
      </c>
      <c r="C32" s="4" t="s">
        <v>254</v>
      </c>
      <c r="D32" s="5" t="s">
        <v>264</v>
      </c>
      <c r="E32" s="5" t="s">
        <v>256</v>
      </c>
      <c r="F32" s="6" t="s">
        <v>265</v>
      </c>
      <c r="G32" s="6" t="s">
        <v>266</v>
      </c>
      <c r="H32" s="4" t="s">
        <v>267</v>
      </c>
      <c r="I32" s="4" t="s">
        <v>268</v>
      </c>
      <c r="J32" s="6" t="s">
        <v>168</v>
      </c>
      <c r="K32" s="4" t="s">
        <v>269</v>
      </c>
    </row>
    <row r="33" customFormat="false" ht="30" hidden="false" customHeight="true" outlineLevel="0" collapsed="false">
      <c r="A33" s="2" t="s">
        <v>270</v>
      </c>
      <c r="B33" s="3" t="s">
        <v>271</v>
      </c>
      <c r="C33" s="4" t="s">
        <v>254</v>
      </c>
      <c r="D33" s="5" t="s">
        <v>272</v>
      </c>
      <c r="E33" s="5" t="s">
        <v>273</v>
      </c>
      <c r="F33" s="6" t="s">
        <v>274</v>
      </c>
      <c r="G33" s="6" t="s">
        <v>275</v>
      </c>
      <c r="H33" s="4" t="s">
        <v>276</v>
      </c>
      <c r="I33" s="4" t="s">
        <v>277</v>
      </c>
      <c r="J33" s="6" t="s">
        <v>146</v>
      </c>
      <c r="K33" s="4" t="s">
        <v>278</v>
      </c>
    </row>
    <row r="34" customFormat="false" ht="30" hidden="false" customHeight="true" outlineLevel="0" collapsed="false">
      <c r="A34" s="2" t="s">
        <v>279</v>
      </c>
      <c r="B34" s="3" t="s">
        <v>280</v>
      </c>
      <c r="C34" s="4" t="s">
        <v>254</v>
      </c>
      <c r="D34" s="5" t="s">
        <v>281</v>
      </c>
      <c r="E34" s="5" t="s">
        <v>282</v>
      </c>
      <c r="F34" s="6" t="s">
        <v>283</v>
      </c>
      <c r="G34" s="6" t="s">
        <v>284</v>
      </c>
      <c r="H34" s="4" t="s">
        <v>285</v>
      </c>
      <c r="I34" s="4" t="s">
        <v>286</v>
      </c>
      <c r="J34" s="6" t="s">
        <v>168</v>
      </c>
      <c r="K34" s="4" t="s">
        <v>287</v>
      </c>
    </row>
    <row r="35" customFormat="false" ht="43.5" hidden="false" customHeight="true" outlineLevel="0" collapsed="false">
      <c r="A35" s="2" t="s">
        <v>288</v>
      </c>
      <c r="B35" s="3" t="s">
        <v>289</v>
      </c>
      <c r="C35" s="4" t="s">
        <v>254</v>
      </c>
      <c r="D35" s="5" t="s">
        <v>290</v>
      </c>
      <c r="E35" s="5" t="s">
        <v>282</v>
      </c>
      <c r="F35" s="6" t="s">
        <v>291</v>
      </c>
      <c r="G35" s="6" t="s">
        <v>292</v>
      </c>
      <c r="H35" s="4" t="s">
        <v>293</v>
      </c>
      <c r="I35" s="4" t="s">
        <v>294</v>
      </c>
      <c r="J35" s="6" t="s">
        <v>168</v>
      </c>
      <c r="K35" s="4" t="s">
        <v>295</v>
      </c>
    </row>
    <row r="36" customFormat="false" ht="30" hidden="false" customHeight="true" outlineLevel="0" collapsed="false">
      <c r="A36" s="2" t="s">
        <v>296</v>
      </c>
      <c r="B36" s="3" t="s">
        <v>297</v>
      </c>
      <c r="C36" s="4" t="s">
        <v>254</v>
      </c>
      <c r="D36" s="5" t="s">
        <v>298</v>
      </c>
      <c r="E36" s="5" t="s">
        <v>282</v>
      </c>
      <c r="F36" s="6" t="s">
        <v>299</v>
      </c>
      <c r="G36" s="6" t="s">
        <v>300</v>
      </c>
      <c r="H36" s="4" t="s">
        <v>301</v>
      </c>
      <c r="I36" s="4" t="s">
        <v>302</v>
      </c>
      <c r="J36" s="6" t="s">
        <v>20</v>
      </c>
      <c r="K36" s="4" t="s">
        <v>303</v>
      </c>
    </row>
    <row r="37" customFormat="false" ht="30" hidden="false" customHeight="true" outlineLevel="0" collapsed="false">
      <c r="A37" s="2" t="s">
        <v>304</v>
      </c>
      <c r="B37" s="3" t="s">
        <v>305</v>
      </c>
      <c r="C37" s="4" t="s">
        <v>254</v>
      </c>
      <c r="D37" s="5" t="s">
        <v>306</v>
      </c>
      <c r="E37" s="5" t="s">
        <v>307</v>
      </c>
      <c r="F37" s="6" t="s">
        <v>308</v>
      </c>
      <c r="G37" s="6" t="s">
        <v>309</v>
      </c>
      <c r="H37" s="4" t="s">
        <v>310</v>
      </c>
      <c r="I37" s="4" t="s">
        <v>311</v>
      </c>
      <c r="J37" s="6" t="s">
        <v>20</v>
      </c>
      <c r="K37" s="4" t="s">
        <v>312</v>
      </c>
    </row>
    <row r="38" customFormat="false" ht="30" hidden="false" customHeight="true" outlineLevel="0" collapsed="false">
      <c r="A38" s="2" t="s">
        <v>313</v>
      </c>
      <c r="B38" s="3" t="s">
        <v>314</v>
      </c>
      <c r="C38" s="4" t="s">
        <v>315</v>
      </c>
      <c r="D38" s="5" t="s">
        <v>316</v>
      </c>
      <c r="E38" s="5" t="s">
        <v>317</v>
      </c>
      <c r="F38" s="6" t="s">
        <v>318</v>
      </c>
      <c r="G38" s="6" t="s">
        <v>319</v>
      </c>
      <c r="H38" s="4" t="s">
        <v>320</v>
      </c>
      <c r="I38" s="4" t="s">
        <v>321</v>
      </c>
      <c r="J38" s="6" t="s">
        <v>20</v>
      </c>
      <c r="K38" s="4" t="s">
        <v>322</v>
      </c>
    </row>
    <row r="39" customFormat="false" ht="30" hidden="false" customHeight="true" outlineLevel="0" collapsed="false">
      <c r="A39" s="2" t="s">
        <v>323</v>
      </c>
      <c r="B39" s="3" t="s">
        <v>324</v>
      </c>
      <c r="C39" s="4" t="s">
        <v>315</v>
      </c>
      <c r="D39" s="5" t="s">
        <v>325</v>
      </c>
      <c r="E39" s="5" t="s">
        <v>326</v>
      </c>
      <c r="F39" s="6" t="s">
        <v>327</v>
      </c>
      <c r="G39" s="6" t="s">
        <v>328</v>
      </c>
      <c r="H39" s="4" t="s">
        <v>329</v>
      </c>
      <c r="I39" s="4" t="s">
        <v>330</v>
      </c>
      <c r="J39" s="6" t="s">
        <v>20</v>
      </c>
      <c r="K39" s="4" t="s">
        <v>322</v>
      </c>
    </row>
    <row r="40" customFormat="false" ht="30" hidden="false" customHeight="true" outlineLevel="0" collapsed="false">
      <c r="A40" s="2" t="s">
        <v>331</v>
      </c>
      <c r="B40" s="3" t="s">
        <v>332</v>
      </c>
      <c r="C40" s="4" t="s">
        <v>315</v>
      </c>
      <c r="D40" s="5" t="s">
        <v>333</v>
      </c>
      <c r="E40" s="5" t="s">
        <v>334</v>
      </c>
      <c r="F40" s="6" t="s">
        <v>335</v>
      </c>
      <c r="G40" s="6" t="s">
        <v>336</v>
      </c>
      <c r="H40" s="4" t="s">
        <v>337</v>
      </c>
      <c r="I40" s="4" t="s">
        <v>338</v>
      </c>
      <c r="J40" s="6" t="s">
        <v>20</v>
      </c>
      <c r="K40" s="4" t="s">
        <v>322</v>
      </c>
    </row>
    <row r="41" customFormat="false" ht="30" hidden="false" customHeight="true" outlineLevel="0" collapsed="false">
      <c r="A41" s="2" t="s">
        <v>339</v>
      </c>
      <c r="B41" s="3" t="s">
        <v>340</v>
      </c>
      <c r="C41" s="4" t="s">
        <v>315</v>
      </c>
      <c r="D41" s="5" t="s">
        <v>341</v>
      </c>
      <c r="E41" s="5" t="s">
        <v>342</v>
      </c>
      <c r="F41" s="6" t="s">
        <v>343</v>
      </c>
      <c r="G41" s="6" t="s">
        <v>344</v>
      </c>
      <c r="H41" s="4" t="s">
        <v>345</v>
      </c>
      <c r="I41" s="4" t="s">
        <v>346</v>
      </c>
      <c r="J41" s="6" t="s">
        <v>20</v>
      </c>
      <c r="K41" s="4" t="s">
        <v>322</v>
      </c>
    </row>
    <row r="42" customFormat="false" ht="43.5" hidden="false" customHeight="true" outlineLevel="0" collapsed="false">
      <c r="A42" s="2" t="s">
        <v>347</v>
      </c>
      <c r="B42" s="3" t="s">
        <v>348</v>
      </c>
      <c r="C42" s="4" t="s">
        <v>315</v>
      </c>
      <c r="D42" s="5" t="s">
        <v>349</v>
      </c>
      <c r="E42" s="5" t="s">
        <v>350</v>
      </c>
      <c r="F42" s="6" t="s">
        <v>351</v>
      </c>
      <c r="G42" s="6" t="s">
        <v>352</v>
      </c>
      <c r="H42" s="4" t="s">
        <v>353</v>
      </c>
      <c r="I42" s="4" t="s">
        <v>354</v>
      </c>
      <c r="J42" s="6" t="s">
        <v>20</v>
      </c>
      <c r="K42" s="4" t="s">
        <v>355</v>
      </c>
    </row>
    <row r="43" customFormat="false" ht="30" hidden="false" customHeight="true" outlineLevel="0" collapsed="false">
      <c r="A43" s="2" t="s">
        <v>356</v>
      </c>
      <c r="B43" s="3" t="s">
        <v>357</v>
      </c>
      <c r="C43" s="4" t="s">
        <v>315</v>
      </c>
      <c r="D43" s="5" t="s">
        <v>358</v>
      </c>
      <c r="E43" s="5" t="s">
        <v>359</v>
      </c>
      <c r="F43" s="6" t="s">
        <v>360</v>
      </c>
      <c r="G43" s="6" t="s">
        <v>361</v>
      </c>
      <c r="H43" s="4" t="s">
        <v>362</v>
      </c>
      <c r="I43" s="4" t="s">
        <v>363</v>
      </c>
      <c r="J43" s="6" t="s">
        <v>20</v>
      </c>
      <c r="K43" s="4" t="s">
        <v>364</v>
      </c>
    </row>
    <row r="44" customFormat="false" ht="30" hidden="false" customHeight="true" outlineLevel="0" collapsed="false">
      <c r="A44" s="2" t="s">
        <v>365</v>
      </c>
      <c r="B44" s="3" t="s">
        <v>366</v>
      </c>
      <c r="C44" s="4" t="s">
        <v>315</v>
      </c>
      <c r="D44" s="5" t="s">
        <v>367</v>
      </c>
      <c r="E44" s="5" t="s">
        <v>368</v>
      </c>
      <c r="F44" s="6" t="s">
        <v>369</v>
      </c>
      <c r="G44" s="6" t="s">
        <v>370</v>
      </c>
      <c r="H44" s="4" t="s">
        <v>371</v>
      </c>
      <c r="I44" s="4" t="s">
        <v>372</v>
      </c>
      <c r="J44" s="6" t="s">
        <v>20</v>
      </c>
      <c r="K44" s="4" t="s">
        <v>364</v>
      </c>
    </row>
    <row r="45" customFormat="false" ht="30" hidden="false" customHeight="true" outlineLevel="0" collapsed="false">
      <c r="A45" s="2" t="s">
        <v>373</v>
      </c>
      <c r="B45" s="3" t="s">
        <v>374</v>
      </c>
      <c r="C45" s="4" t="s">
        <v>315</v>
      </c>
      <c r="D45" s="5" t="s">
        <v>375</v>
      </c>
      <c r="E45" s="5" t="s">
        <v>376</v>
      </c>
      <c r="F45" s="6" t="s">
        <v>377</v>
      </c>
      <c r="G45" s="6" t="s">
        <v>378</v>
      </c>
      <c r="H45" s="4" t="s">
        <v>379</v>
      </c>
      <c r="I45" s="4" t="s">
        <v>380</v>
      </c>
      <c r="J45" s="6" t="s">
        <v>20</v>
      </c>
      <c r="K45" s="4" t="s">
        <v>364</v>
      </c>
    </row>
    <row r="46" customFormat="false" ht="30" hidden="false" customHeight="true" outlineLevel="0" collapsed="false">
      <c r="A46" s="2" t="s">
        <v>381</v>
      </c>
      <c r="B46" s="3" t="s">
        <v>382</v>
      </c>
      <c r="C46" s="4" t="s">
        <v>315</v>
      </c>
      <c r="D46" s="5" t="s">
        <v>383</v>
      </c>
      <c r="E46" s="5" t="s">
        <v>384</v>
      </c>
      <c r="F46" s="6" t="s">
        <v>385</v>
      </c>
      <c r="G46" s="6" t="s">
        <v>386</v>
      </c>
      <c r="H46" s="4" t="s">
        <v>387</v>
      </c>
      <c r="I46" s="4" t="s">
        <v>388</v>
      </c>
      <c r="J46" s="6" t="s">
        <v>20</v>
      </c>
      <c r="K46" s="4" t="s">
        <v>364</v>
      </c>
    </row>
    <row r="47" customFormat="false" ht="43.5" hidden="false" customHeight="true" outlineLevel="0" collapsed="false">
      <c r="A47" s="2" t="s">
        <v>389</v>
      </c>
      <c r="B47" s="3" t="s">
        <v>390</v>
      </c>
      <c r="C47" s="4" t="s">
        <v>315</v>
      </c>
      <c r="D47" s="5" t="s">
        <v>391</v>
      </c>
      <c r="E47" s="5" t="s">
        <v>392</v>
      </c>
      <c r="F47" s="6" t="s">
        <v>393</v>
      </c>
      <c r="G47" s="6" t="s">
        <v>394</v>
      </c>
      <c r="H47" s="4" t="s">
        <v>395</v>
      </c>
      <c r="I47" s="4" t="s">
        <v>396</v>
      </c>
      <c r="J47" s="6" t="s">
        <v>20</v>
      </c>
      <c r="K47" s="4" t="s">
        <v>397</v>
      </c>
    </row>
    <row r="48" customFormat="false" ht="30" hidden="false" customHeight="true" outlineLevel="0" collapsed="false">
      <c r="A48" s="2" t="s">
        <v>398</v>
      </c>
      <c r="B48" s="3" t="s">
        <v>399</v>
      </c>
      <c r="C48" s="4" t="s">
        <v>315</v>
      </c>
      <c r="D48" s="5" t="s">
        <v>400</v>
      </c>
      <c r="E48" s="5" t="s">
        <v>401</v>
      </c>
      <c r="F48" s="6" t="s">
        <v>402</v>
      </c>
      <c r="G48" s="6" t="s">
        <v>403</v>
      </c>
      <c r="H48" s="4" t="s">
        <v>404</v>
      </c>
      <c r="I48" s="4" t="s">
        <v>405</v>
      </c>
      <c r="J48" s="6" t="s">
        <v>20</v>
      </c>
      <c r="K48" s="4" t="s">
        <v>406</v>
      </c>
    </row>
    <row r="49" customFormat="false" ht="30" hidden="false" customHeight="true" outlineLevel="0" collapsed="false">
      <c r="A49" s="2" t="s">
        <v>407</v>
      </c>
      <c r="B49" s="3" t="s">
        <v>408</v>
      </c>
      <c r="C49" s="4" t="s">
        <v>315</v>
      </c>
      <c r="D49" s="5" t="s">
        <v>409</v>
      </c>
      <c r="E49" s="5" t="s">
        <v>410</v>
      </c>
      <c r="F49" s="6" t="s">
        <v>411</v>
      </c>
      <c r="G49" s="6" t="s">
        <v>412</v>
      </c>
      <c r="H49" s="4" t="s">
        <v>413</v>
      </c>
      <c r="I49" s="4" t="s">
        <v>414</v>
      </c>
      <c r="J49" s="6" t="s">
        <v>20</v>
      </c>
      <c r="K49" s="4" t="s">
        <v>406</v>
      </c>
    </row>
    <row r="50" customFormat="false" ht="30" hidden="false" customHeight="true" outlineLevel="0" collapsed="false">
      <c r="A50" s="2" t="s">
        <v>415</v>
      </c>
      <c r="B50" s="3" t="s">
        <v>416</v>
      </c>
      <c r="C50" s="4" t="s">
        <v>315</v>
      </c>
      <c r="D50" s="5" t="s">
        <v>417</v>
      </c>
      <c r="E50" s="5" t="s">
        <v>418</v>
      </c>
      <c r="F50" s="6" t="s">
        <v>419</v>
      </c>
      <c r="G50" s="6" t="s">
        <v>420</v>
      </c>
      <c r="H50" s="4" t="s">
        <v>421</v>
      </c>
      <c r="I50" s="4" t="s">
        <v>422</v>
      </c>
      <c r="J50" s="6" t="s">
        <v>20</v>
      </c>
      <c r="K50" s="4" t="s">
        <v>406</v>
      </c>
    </row>
    <row r="51" customFormat="false" ht="30" hidden="false" customHeight="true" outlineLevel="0" collapsed="false">
      <c r="A51" s="2" t="s">
        <v>423</v>
      </c>
      <c r="B51" s="3" t="s">
        <v>424</v>
      </c>
      <c r="C51" s="4" t="s">
        <v>315</v>
      </c>
      <c r="D51" s="5" t="s">
        <v>425</v>
      </c>
      <c r="E51" s="5" t="s">
        <v>426</v>
      </c>
      <c r="F51" s="6" t="s">
        <v>427</v>
      </c>
      <c r="G51" s="6" t="s">
        <v>428</v>
      </c>
      <c r="H51" s="4" t="s">
        <v>429</v>
      </c>
      <c r="I51" s="4" t="s">
        <v>430</v>
      </c>
      <c r="J51" s="6" t="s">
        <v>20</v>
      </c>
      <c r="K51" s="4" t="s">
        <v>406</v>
      </c>
    </row>
    <row r="52" customFormat="false" ht="43.5" hidden="false" customHeight="true" outlineLevel="0" collapsed="false">
      <c r="A52" s="2" t="s">
        <v>431</v>
      </c>
      <c r="B52" s="3" t="s">
        <v>432</v>
      </c>
      <c r="C52" s="4" t="s">
        <v>315</v>
      </c>
      <c r="D52" s="5" t="s">
        <v>433</v>
      </c>
      <c r="E52" s="5" t="s">
        <v>434</v>
      </c>
      <c r="F52" s="6" t="s">
        <v>435</v>
      </c>
      <c r="G52" s="6" t="s">
        <v>436</v>
      </c>
      <c r="H52" s="4" t="s">
        <v>437</v>
      </c>
      <c r="I52" s="4" t="s">
        <v>438</v>
      </c>
      <c r="J52" s="6" t="s">
        <v>20</v>
      </c>
      <c r="K52" s="4" t="s">
        <v>439</v>
      </c>
    </row>
    <row r="53" customFormat="false" ht="30" hidden="false" customHeight="true" outlineLevel="0" collapsed="false">
      <c r="A53" s="2" t="s">
        <v>440</v>
      </c>
      <c r="B53" s="3" t="s">
        <v>441</v>
      </c>
      <c r="C53" s="4" t="s">
        <v>315</v>
      </c>
      <c r="D53" s="5" t="s">
        <v>442</v>
      </c>
      <c r="E53" s="5" t="s">
        <v>443</v>
      </c>
      <c r="F53" s="6" t="s">
        <v>444</v>
      </c>
      <c r="G53" s="6" t="s">
        <v>445</v>
      </c>
      <c r="H53" s="4" t="s">
        <v>446</v>
      </c>
      <c r="I53" s="4" t="s">
        <v>447</v>
      </c>
      <c r="J53" s="6" t="s">
        <v>20</v>
      </c>
      <c r="K53" s="4" t="s">
        <v>448</v>
      </c>
    </row>
    <row r="54" customFormat="false" ht="30" hidden="false" customHeight="true" outlineLevel="0" collapsed="false">
      <c r="A54" s="2" t="s">
        <v>449</v>
      </c>
      <c r="B54" s="3" t="s">
        <v>450</v>
      </c>
      <c r="C54" s="4" t="s">
        <v>315</v>
      </c>
      <c r="D54" s="5" t="s">
        <v>451</v>
      </c>
      <c r="E54" s="5" t="s">
        <v>452</v>
      </c>
      <c r="F54" s="6" t="s">
        <v>453</v>
      </c>
      <c r="G54" s="6" t="s">
        <v>454</v>
      </c>
      <c r="H54" s="4" t="s">
        <v>455</v>
      </c>
      <c r="I54" s="4" t="s">
        <v>456</v>
      </c>
      <c r="J54" s="6" t="s">
        <v>20</v>
      </c>
      <c r="K54" s="4" t="s">
        <v>448</v>
      </c>
    </row>
    <row r="55" customFormat="false" ht="30" hidden="false" customHeight="true" outlineLevel="0" collapsed="false">
      <c r="A55" s="2" t="s">
        <v>457</v>
      </c>
      <c r="B55" s="3" t="s">
        <v>458</v>
      </c>
      <c r="C55" s="4" t="s">
        <v>315</v>
      </c>
      <c r="D55" s="5" t="s">
        <v>459</v>
      </c>
      <c r="E55" s="5" t="s">
        <v>460</v>
      </c>
      <c r="F55" s="6" t="s">
        <v>461</v>
      </c>
      <c r="G55" s="6" t="s">
        <v>462</v>
      </c>
      <c r="H55" s="4" t="s">
        <v>463</v>
      </c>
      <c r="I55" s="4" t="s">
        <v>464</v>
      </c>
      <c r="J55" s="6" t="s">
        <v>20</v>
      </c>
      <c r="K55" s="4" t="s">
        <v>448</v>
      </c>
    </row>
    <row r="56" customFormat="false" ht="30" hidden="false" customHeight="true" outlineLevel="0" collapsed="false">
      <c r="A56" s="2" t="s">
        <v>465</v>
      </c>
      <c r="B56" s="3" t="s">
        <v>466</v>
      </c>
      <c r="C56" s="4" t="s">
        <v>315</v>
      </c>
      <c r="D56" s="5" t="s">
        <v>467</v>
      </c>
      <c r="E56" s="5" t="s">
        <v>468</v>
      </c>
      <c r="F56" s="6" t="s">
        <v>469</v>
      </c>
      <c r="G56" s="6" t="s">
        <v>470</v>
      </c>
      <c r="H56" s="4" t="s">
        <v>471</v>
      </c>
      <c r="I56" s="4" t="s">
        <v>472</v>
      </c>
      <c r="J56" s="6" t="s">
        <v>20</v>
      </c>
      <c r="K56" s="4" t="s">
        <v>448</v>
      </c>
    </row>
    <row r="57" customFormat="false" ht="43.5" hidden="false" customHeight="true" outlineLevel="0" collapsed="false">
      <c r="A57" s="2" t="s">
        <v>473</v>
      </c>
      <c r="B57" s="3" t="s">
        <v>474</v>
      </c>
      <c r="C57" s="4" t="s">
        <v>315</v>
      </c>
      <c r="D57" s="5" t="s">
        <v>475</v>
      </c>
      <c r="E57" s="5" t="s">
        <v>476</v>
      </c>
      <c r="F57" s="6" t="s">
        <v>477</v>
      </c>
      <c r="G57" s="6" t="s">
        <v>478</v>
      </c>
      <c r="H57" s="4" t="s">
        <v>479</v>
      </c>
      <c r="I57" s="4" t="s">
        <v>480</v>
      </c>
      <c r="J57" s="6" t="s">
        <v>20</v>
      </c>
      <c r="K57" s="4" t="s">
        <v>481</v>
      </c>
    </row>
    <row r="58" customFormat="false" ht="30" hidden="false" customHeight="true" outlineLevel="0" collapsed="false">
      <c r="A58" s="2" t="s">
        <v>482</v>
      </c>
      <c r="B58" s="3" t="s">
        <v>483</v>
      </c>
      <c r="C58" s="4" t="s">
        <v>315</v>
      </c>
      <c r="D58" s="5" t="s">
        <v>484</v>
      </c>
      <c r="E58" s="5" t="s">
        <v>485</v>
      </c>
      <c r="F58" s="6" t="s">
        <v>486</v>
      </c>
      <c r="G58" s="6" t="s">
        <v>487</v>
      </c>
      <c r="H58" s="4" t="s">
        <v>488</v>
      </c>
      <c r="I58" s="4" t="s">
        <v>489</v>
      </c>
      <c r="J58" s="6" t="s">
        <v>20</v>
      </c>
      <c r="K58" s="4" t="s">
        <v>490</v>
      </c>
    </row>
    <row r="59" customFormat="false" ht="30" hidden="false" customHeight="true" outlineLevel="0" collapsed="false">
      <c r="A59" s="2" t="s">
        <v>491</v>
      </c>
      <c r="B59" s="3" t="s">
        <v>492</v>
      </c>
      <c r="C59" s="4" t="s">
        <v>315</v>
      </c>
      <c r="D59" s="5" t="s">
        <v>493</v>
      </c>
      <c r="E59" s="5" t="s">
        <v>494</v>
      </c>
      <c r="F59" s="6" t="s">
        <v>495</v>
      </c>
      <c r="G59" s="6" t="s">
        <v>496</v>
      </c>
      <c r="H59" s="4" t="s">
        <v>497</v>
      </c>
      <c r="I59" s="4" t="s">
        <v>498</v>
      </c>
      <c r="J59" s="6" t="s">
        <v>20</v>
      </c>
      <c r="K59" s="4" t="s">
        <v>490</v>
      </c>
    </row>
    <row r="60" customFormat="false" ht="30" hidden="false" customHeight="true" outlineLevel="0" collapsed="false">
      <c r="A60" s="2" t="s">
        <v>499</v>
      </c>
      <c r="B60" s="3" t="s">
        <v>500</v>
      </c>
      <c r="C60" s="4" t="s">
        <v>315</v>
      </c>
      <c r="D60" s="5" t="s">
        <v>501</v>
      </c>
      <c r="E60" s="5" t="s">
        <v>502</v>
      </c>
      <c r="F60" s="6" t="s">
        <v>503</v>
      </c>
      <c r="G60" s="6" t="s">
        <v>504</v>
      </c>
      <c r="H60" s="4" t="s">
        <v>505</v>
      </c>
      <c r="I60" s="4" t="s">
        <v>506</v>
      </c>
      <c r="J60" s="6" t="s">
        <v>20</v>
      </c>
      <c r="K60" s="4" t="s">
        <v>490</v>
      </c>
    </row>
    <row r="61" customFormat="false" ht="30" hidden="false" customHeight="true" outlineLevel="0" collapsed="false">
      <c r="A61" s="2" t="s">
        <v>507</v>
      </c>
      <c r="B61" s="3" t="s">
        <v>508</v>
      </c>
      <c r="C61" s="4" t="s">
        <v>315</v>
      </c>
      <c r="D61" s="5" t="s">
        <v>509</v>
      </c>
      <c r="E61" s="5" t="s">
        <v>510</v>
      </c>
      <c r="F61" s="6" t="s">
        <v>511</v>
      </c>
      <c r="G61" s="6" t="s">
        <v>512</v>
      </c>
      <c r="H61" s="4" t="s">
        <v>513</v>
      </c>
      <c r="I61" s="4" t="s">
        <v>514</v>
      </c>
      <c r="J61" s="6" t="s">
        <v>20</v>
      </c>
      <c r="K61" s="4" t="s">
        <v>490</v>
      </c>
    </row>
    <row r="62" customFormat="false" ht="43.5" hidden="false" customHeight="true" outlineLevel="0" collapsed="false">
      <c r="A62" s="2" t="s">
        <v>515</v>
      </c>
      <c r="B62" s="3" t="s">
        <v>516</v>
      </c>
      <c r="C62" s="4" t="s">
        <v>315</v>
      </c>
      <c r="D62" s="5" t="s">
        <v>517</v>
      </c>
      <c r="E62" s="5" t="s">
        <v>518</v>
      </c>
      <c r="F62" s="6" t="s">
        <v>519</v>
      </c>
      <c r="G62" s="6" t="s">
        <v>520</v>
      </c>
      <c r="H62" s="4" t="s">
        <v>521</v>
      </c>
      <c r="I62" s="4" t="s">
        <v>522</v>
      </c>
      <c r="J62" s="6" t="s">
        <v>20</v>
      </c>
      <c r="K62" s="4" t="s">
        <v>523</v>
      </c>
    </row>
    <row r="63" customFormat="false" ht="30" hidden="false" customHeight="true" outlineLevel="0" collapsed="false">
      <c r="A63" s="2" t="s">
        <v>524</v>
      </c>
      <c r="B63" s="3" t="s">
        <v>525</v>
      </c>
      <c r="C63" s="4" t="s">
        <v>315</v>
      </c>
      <c r="D63" s="5" t="s">
        <v>526</v>
      </c>
      <c r="E63" s="5" t="s">
        <v>527</v>
      </c>
      <c r="F63" s="6" t="s">
        <v>528</v>
      </c>
      <c r="G63" s="6" t="s">
        <v>529</v>
      </c>
      <c r="H63" s="4" t="s">
        <v>530</v>
      </c>
      <c r="I63" s="4" t="s">
        <v>531</v>
      </c>
      <c r="J63" s="6" t="s">
        <v>20</v>
      </c>
      <c r="K63" s="4" t="s">
        <v>532</v>
      </c>
    </row>
    <row r="64" customFormat="false" ht="30" hidden="false" customHeight="true" outlineLevel="0" collapsed="false">
      <c r="A64" s="2" t="s">
        <v>533</v>
      </c>
      <c r="B64" s="3" t="s">
        <v>534</v>
      </c>
      <c r="C64" s="4" t="s">
        <v>315</v>
      </c>
      <c r="D64" s="5" t="s">
        <v>535</v>
      </c>
      <c r="E64" s="5" t="s">
        <v>536</v>
      </c>
      <c r="F64" s="6" t="s">
        <v>537</v>
      </c>
      <c r="G64" s="6" t="s">
        <v>538</v>
      </c>
      <c r="H64" s="4" t="s">
        <v>539</v>
      </c>
      <c r="I64" s="4" t="s">
        <v>540</v>
      </c>
      <c r="J64" s="6" t="s">
        <v>20</v>
      </c>
      <c r="K64" s="4" t="s">
        <v>532</v>
      </c>
    </row>
    <row r="65" customFormat="false" ht="30" hidden="false" customHeight="true" outlineLevel="0" collapsed="false">
      <c r="A65" s="2" t="s">
        <v>541</v>
      </c>
      <c r="B65" s="3" t="s">
        <v>542</v>
      </c>
      <c r="C65" s="4" t="s">
        <v>315</v>
      </c>
      <c r="D65" s="5" t="s">
        <v>543</v>
      </c>
      <c r="E65" s="5" t="s">
        <v>544</v>
      </c>
      <c r="F65" s="6" t="s">
        <v>545</v>
      </c>
      <c r="G65" s="6" t="s">
        <v>546</v>
      </c>
      <c r="H65" s="4" t="s">
        <v>547</v>
      </c>
      <c r="I65" s="4" t="s">
        <v>548</v>
      </c>
      <c r="J65" s="6" t="s">
        <v>20</v>
      </c>
      <c r="K65" s="4" t="s">
        <v>532</v>
      </c>
    </row>
    <row r="66" customFormat="false" ht="30" hidden="false" customHeight="true" outlineLevel="0" collapsed="false">
      <c r="A66" s="2" t="s">
        <v>549</v>
      </c>
      <c r="B66" s="3" t="s">
        <v>550</v>
      </c>
      <c r="C66" s="4" t="s">
        <v>315</v>
      </c>
      <c r="D66" s="5" t="s">
        <v>551</v>
      </c>
      <c r="E66" s="5" t="s">
        <v>552</v>
      </c>
      <c r="F66" s="6" t="s">
        <v>553</v>
      </c>
      <c r="G66" s="6" t="s">
        <v>554</v>
      </c>
      <c r="H66" s="4" t="s">
        <v>555</v>
      </c>
      <c r="I66" s="4" t="s">
        <v>556</v>
      </c>
      <c r="J66" s="6" t="s">
        <v>20</v>
      </c>
      <c r="K66" s="4" t="s">
        <v>532</v>
      </c>
    </row>
    <row r="67" customFormat="false" ht="30" hidden="false" customHeight="true" outlineLevel="0" collapsed="false">
      <c r="A67" s="2" t="s">
        <v>557</v>
      </c>
      <c r="B67" s="3" t="s">
        <v>558</v>
      </c>
      <c r="C67" s="4" t="s">
        <v>315</v>
      </c>
      <c r="D67" s="5" t="s">
        <v>559</v>
      </c>
      <c r="E67" s="5" t="s">
        <v>560</v>
      </c>
      <c r="F67" s="6" t="s">
        <v>561</v>
      </c>
      <c r="G67" s="6" t="s">
        <v>562</v>
      </c>
      <c r="H67" s="4" t="s">
        <v>563</v>
      </c>
      <c r="I67" s="4" t="s">
        <v>564</v>
      </c>
      <c r="J67" s="6" t="s">
        <v>20</v>
      </c>
      <c r="K67" s="4" t="s">
        <v>565</v>
      </c>
    </row>
    <row r="68" customFormat="false" ht="30" hidden="false" customHeight="true" outlineLevel="0" collapsed="false">
      <c r="A68" s="2" t="s">
        <v>566</v>
      </c>
      <c r="B68" s="3" t="s">
        <v>567</v>
      </c>
      <c r="C68" s="4" t="s">
        <v>315</v>
      </c>
      <c r="D68" s="5" t="s">
        <v>568</v>
      </c>
      <c r="E68" s="5" t="s">
        <v>569</v>
      </c>
      <c r="F68" s="6" t="s">
        <v>570</v>
      </c>
      <c r="G68" s="6" t="s">
        <v>571</v>
      </c>
      <c r="H68" s="4" t="s">
        <v>572</v>
      </c>
      <c r="I68" s="4" t="s">
        <v>573</v>
      </c>
      <c r="J68" s="6" t="s">
        <v>20</v>
      </c>
      <c r="K68" s="4" t="s">
        <v>565</v>
      </c>
    </row>
    <row r="69" customFormat="false" ht="30" hidden="false" customHeight="true" outlineLevel="0" collapsed="false">
      <c r="A69" s="2" t="s">
        <v>574</v>
      </c>
      <c r="B69" s="3" t="s">
        <v>575</v>
      </c>
      <c r="C69" s="4" t="s">
        <v>315</v>
      </c>
      <c r="D69" s="5" t="s">
        <v>576</v>
      </c>
      <c r="E69" s="5" t="s">
        <v>577</v>
      </c>
      <c r="F69" s="6" t="s">
        <v>578</v>
      </c>
      <c r="G69" s="6" t="s">
        <v>579</v>
      </c>
      <c r="H69" s="4" t="s">
        <v>580</v>
      </c>
      <c r="I69" s="4" t="s">
        <v>581</v>
      </c>
      <c r="J69" s="6" t="s">
        <v>20</v>
      </c>
      <c r="K69" s="4" t="s">
        <v>565</v>
      </c>
    </row>
    <row r="70" customFormat="false" ht="30" hidden="false" customHeight="true" outlineLevel="0" collapsed="false">
      <c r="A70" s="2" t="s">
        <v>582</v>
      </c>
      <c r="B70" s="3" t="s">
        <v>583</v>
      </c>
      <c r="C70" s="4" t="s">
        <v>315</v>
      </c>
      <c r="D70" s="5" t="s">
        <v>584</v>
      </c>
      <c r="E70" s="5" t="s">
        <v>585</v>
      </c>
      <c r="F70" s="6" t="s">
        <v>586</v>
      </c>
      <c r="G70" s="6" t="s">
        <v>587</v>
      </c>
      <c r="H70" s="4" t="s">
        <v>588</v>
      </c>
      <c r="I70" s="4" t="s">
        <v>589</v>
      </c>
      <c r="J70" s="6" t="s">
        <v>20</v>
      </c>
      <c r="K70" s="4" t="s">
        <v>590</v>
      </c>
    </row>
    <row r="71" customFormat="false" ht="30" hidden="false" customHeight="true" outlineLevel="0" collapsed="false">
      <c r="A71" s="2" t="s">
        <v>591</v>
      </c>
      <c r="B71" s="3" t="s">
        <v>592</v>
      </c>
      <c r="C71" s="4" t="s">
        <v>593</v>
      </c>
      <c r="D71" s="5" t="s">
        <v>594</v>
      </c>
      <c r="E71" s="5" t="s">
        <v>282</v>
      </c>
      <c r="F71" s="6" t="s">
        <v>595</v>
      </c>
      <c r="G71" s="6" t="s">
        <v>596</v>
      </c>
      <c r="H71" s="4" t="s">
        <v>597</v>
      </c>
      <c r="I71" s="4" t="s">
        <v>598</v>
      </c>
      <c r="J71" s="6" t="s">
        <v>599</v>
      </c>
      <c r="K71" s="4" t="s">
        <v>600</v>
      </c>
    </row>
    <row r="72" customFormat="false" ht="30" hidden="false" customHeight="true" outlineLevel="0" collapsed="false">
      <c r="A72" s="2" t="s">
        <v>601</v>
      </c>
      <c r="B72" s="3" t="s">
        <v>602</v>
      </c>
      <c r="C72" s="4" t="s">
        <v>593</v>
      </c>
      <c r="D72" s="5" t="s">
        <v>603</v>
      </c>
      <c r="E72" s="5" t="s">
        <v>282</v>
      </c>
      <c r="F72" s="6" t="s">
        <v>604</v>
      </c>
      <c r="G72" s="6" t="s">
        <v>605</v>
      </c>
      <c r="H72" s="4" t="s">
        <v>606</v>
      </c>
      <c r="I72" s="4" t="s">
        <v>607</v>
      </c>
      <c r="J72" s="6" t="s">
        <v>599</v>
      </c>
      <c r="K72" s="4" t="s">
        <v>600</v>
      </c>
    </row>
    <row r="73" customFormat="false" ht="30" hidden="false" customHeight="true" outlineLevel="0" collapsed="false">
      <c r="A73" s="2" t="s">
        <v>608</v>
      </c>
      <c r="B73" s="3" t="s">
        <v>609</v>
      </c>
      <c r="C73" s="4" t="s">
        <v>593</v>
      </c>
      <c r="D73" s="5" t="s">
        <v>610</v>
      </c>
      <c r="E73" s="5" t="s">
        <v>282</v>
      </c>
      <c r="F73" s="6" t="s">
        <v>611</v>
      </c>
      <c r="G73" s="6" t="s">
        <v>612</v>
      </c>
      <c r="H73" s="4" t="s">
        <v>613</v>
      </c>
      <c r="I73" s="4" t="s">
        <v>614</v>
      </c>
      <c r="J73" s="6" t="s">
        <v>599</v>
      </c>
      <c r="K73" s="4" t="s">
        <v>600</v>
      </c>
    </row>
    <row r="74" customFormat="false" ht="30" hidden="false" customHeight="true" outlineLevel="0" collapsed="false">
      <c r="A74" s="2" t="s">
        <v>615</v>
      </c>
      <c r="B74" s="3" t="s">
        <v>616</v>
      </c>
      <c r="C74" s="4" t="s">
        <v>593</v>
      </c>
      <c r="D74" s="5" t="s">
        <v>617</v>
      </c>
      <c r="E74" s="5" t="s">
        <v>282</v>
      </c>
      <c r="F74" s="6" t="s">
        <v>618</v>
      </c>
      <c r="G74" s="6" t="s">
        <v>619</v>
      </c>
      <c r="H74" s="4" t="s">
        <v>620</v>
      </c>
      <c r="I74" s="4" t="s">
        <v>621</v>
      </c>
      <c r="J74" s="6" t="s">
        <v>599</v>
      </c>
      <c r="K74" s="4" t="s">
        <v>600</v>
      </c>
    </row>
    <row r="75" customFormat="false" ht="30" hidden="false" customHeight="true" outlineLevel="0" collapsed="false">
      <c r="A75" s="2" t="s">
        <v>622</v>
      </c>
      <c r="B75" s="3" t="s">
        <v>623</v>
      </c>
      <c r="C75" s="4" t="s">
        <v>593</v>
      </c>
      <c r="D75" s="5" t="s">
        <v>624</v>
      </c>
      <c r="E75" s="5" t="s">
        <v>282</v>
      </c>
      <c r="F75" s="6" t="s">
        <v>625</v>
      </c>
      <c r="G75" s="6" t="s">
        <v>626</v>
      </c>
      <c r="H75" s="4" t="s">
        <v>627</v>
      </c>
      <c r="I75" s="4" t="s">
        <v>628</v>
      </c>
      <c r="J75" s="6" t="s">
        <v>599</v>
      </c>
      <c r="K75" s="4" t="s">
        <v>600</v>
      </c>
    </row>
    <row r="76" customFormat="false" ht="30" hidden="false" customHeight="true" outlineLevel="0" collapsed="false">
      <c r="A76" s="2" t="s">
        <v>629</v>
      </c>
      <c r="B76" s="3" t="s">
        <v>630</v>
      </c>
      <c r="C76" s="4" t="s">
        <v>593</v>
      </c>
      <c r="D76" s="5" t="s">
        <v>631</v>
      </c>
      <c r="E76" s="5" t="s">
        <v>282</v>
      </c>
      <c r="F76" s="6" t="s">
        <v>632</v>
      </c>
      <c r="G76" s="6" t="s">
        <v>633</v>
      </c>
      <c r="H76" s="4" t="s">
        <v>634</v>
      </c>
      <c r="I76" s="4" t="s">
        <v>635</v>
      </c>
      <c r="J76" s="6" t="s">
        <v>599</v>
      </c>
      <c r="K76" s="4" t="s">
        <v>600</v>
      </c>
    </row>
    <row r="77" customFormat="false" ht="30" hidden="false" customHeight="true" outlineLevel="0" collapsed="false">
      <c r="A77" s="2" t="s">
        <v>636</v>
      </c>
      <c r="B77" s="3" t="s">
        <v>637</v>
      </c>
      <c r="C77" s="4" t="s">
        <v>593</v>
      </c>
      <c r="D77" s="5" t="s">
        <v>638</v>
      </c>
      <c r="E77" s="5" t="s">
        <v>282</v>
      </c>
      <c r="F77" s="6" t="s">
        <v>639</v>
      </c>
      <c r="G77" s="6" t="s">
        <v>640</v>
      </c>
      <c r="H77" s="4" t="s">
        <v>641</v>
      </c>
      <c r="I77" s="4" t="s">
        <v>642</v>
      </c>
      <c r="J77" s="6" t="s">
        <v>599</v>
      </c>
      <c r="K77" s="4" t="s">
        <v>600</v>
      </c>
    </row>
    <row r="78" customFormat="false" ht="30" hidden="false" customHeight="true" outlineLevel="0" collapsed="false">
      <c r="A78" s="2" t="s">
        <v>643</v>
      </c>
      <c r="B78" s="3" t="s">
        <v>644</v>
      </c>
      <c r="C78" s="4" t="s">
        <v>593</v>
      </c>
      <c r="D78" s="5" t="s">
        <v>645</v>
      </c>
      <c r="E78" s="5" t="s">
        <v>282</v>
      </c>
      <c r="F78" s="6" t="s">
        <v>646</v>
      </c>
      <c r="G78" s="6" t="s">
        <v>647</v>
      </c>
      <c r="H78" s="4" t="s">
        <v>648</v>
      </c>
      <c r="I78" s="4" t="s">
        <v>649</v>
      </c>
      <c r="J78" s="6" t="s">
        <v>599</v>
      </c>
      <c r="K78" s="4" t="s">
        <v>600</v>
      </c>
    </row>
    <row r="79" customFormat="false" ht="30" hidden="false" customHeight="true" outlineLevel="0" collapsed="false">
      <c r="A79" s="2" t="s">
        <v>650</v>
      </c>
      <c r="B79" s="3" t="s">
        <v>651</v>
      </c>
      <c r="C79" s="4" t="s">
        <v>593</v>
      </c>
      <c r="D79" s="5" t="s">
        <v>652</v>
      </c>
      <c r="E79" s="5" t="s">
        <v>282</v>
      </c>
      <c r="F79" s="6" t="s">
        <v>653</v>
      </c>
      <c r="G79" s="6" t="s">
        <v>654</v>
      </c>
      <c r="H79" s="4" t="s">
        <v>655</v>
      </c>
      <c r="I79" s="4" t="s">
        <v>656</v>
      </c>
      <c r="J79" s="6" t="s">
        <v>599</v>
      </c>
      <c r="K79" s="4" t="s">
        <v>600</v>
      </c>
    </row>
    <row r="80" customFormat="false" ht="30" hidden="false" customHeight="true" outlineLevel="0" collapsed="false">
      <c r="A80" s="2" t="s">
        <v>657</v>
      </c>
      <c r="B80" s="3" t="s">
        <v>658</v>
      </c>
      <c r="C80" s="4" t="s">
        <v>593</v>
      </c>
      <c r="D80" s="5" t="s">
        <v>659</v>
      </c>
      <c r="E80" s="5" t="s">
        <v>282</v>
      </c>
      <c r="F80" s="6" t="s">
        <v>660</v>
      </c>
      <c r="G80" s="6" t="s">
        <v>661</v>
      </c>
      <c r="H80" s="4" t="s">
        <v>662</v>
      </c>
      <c r="I80" s="4" t="s">
        <v>663</v>
      </c>
      <c r="J80" s="6" t="s">
        <v>599</v>
      </c>
      <c r="K80" s="4" t="s">
        <v>600</v>
      </c>
    </row>
    <row r="81" customFormat="false" ht="30" hidden="false" customHeight="true" outlineLevel="0" collapsed="false">
      <c r="A81" s="2" t="s">
        <v>594</v>
      </c>
      <c r="B81" s="3" t="s">
        <v>592</v>
      </c>
      <c r="C81" s="4" t="s">
        <v>664</v>
      </c>
      <c r="D81" s="5" t="s">
        <v>594</v>
      </c>
      <c r="E81" s="5" t="s">
        <v>282</v>
      </c>
      <c r="F81" s="6" t="s">
        <v>665</v>
      </c>
      <c r="G81" s="6" t="s">
        <v>596</v>
      </c>
      <c r="H81" s="4" t="s">
        <v>666</v>
      </c>
      <c r="I81" s="4" t="s">
        <v>598</v>
      </c>
      <c r="J81" s="6" t="s">
        <v>599</v>
      </c>
      <c r="K81" s="4" t="s">
        <v>667</v>
      </c>
    </row>
    <row r="82" customFormat="false" ht="30" hidden="false" customHeight="true" outlineLevel="0" collapsed="false">
      <c r="A82" s="2" t="s">
        <v>603</v>
      </c>
      <c r="B82" s="3" t="s">
        <v>602</v>
      </c>
      <c r="C82" s="4" t="s">
        <v>664</v>
      </c>
      <c r="D82" s="5" t="s">
        <v>603</v>
      </c>
      <c r="E82" s="5" t="s">
        <v>282</v>
      </c>
      <c r="F82" s="6" t="s">
        <v>668</v>
      </c>
      <c r="G82" s="6" t="s">
        <v>605</v>
      </c>
      <c r="H82" s="4" t="s">
        <v>669</v>
      </c>
      <c r="I82" s="4" t="s">
        <v>607</v>
      </c>
      <c r="J82" s="6" t="s">
        <v>599</v>
      </c>
      <c r="K82" s="4" t="s">
        <v>667</v>
      </c>
    </row>
    <row r="83" customFormat="false" ht="30" hidden="false" customHeight="true" outlineLevel="0" collapsed="false">
      <c r="A83" s="2" t="s">
        <v>610</v>
      </c>
      <c r="B83" s="3" t="s">
        <v>609</v>
      </c>
      <c r="C83" s="4" t="s">
        <v>664</v>
      </c>
      <c r="D83" s="5" t="s">
        <v>610</v>
      </c>
      <c r="E83" s="5" t="s">
        <v>282</v>
      </c>
      <c r="F83" s="6" t="s">
        <v>670</v>
      </c>
      <c r="G83" s="6" t="s">
        <v>612</v>
      </c>
      <c r="H83" s="4" t="s">
        <v>671</v>
      </c>
      <c r="I83" s="4" t="s">
        <v>614</v>
      </c>
      <c r="J83" s="6" t="s">
        <v>599</v>
      </c>
      <c r="K83" s="4" t="s">
        <v>667</v>
      </c>
    </row>
    <row r="84" customFormat="false" ht="30" hidden="false" customHeight="true" outlineLevel="0" collapsed="false">
      <c r="A84" s="2" t="s">
        <v>617</v>
      </c>
      <c r="B84" s="3" t="s">
        <v>616</v>
      </c>
      <c r="C84" s="4" t="s">
        <v>664</v>
      </c>
      <c r="D84" s="5" t="s">
        <v>617</v>
      </c>
      <c r="E84" s="5" t="s">
        <v>282</v>
      </c>
      <c r="F84" s="6" t="s">
        <v>672</v>
      </c>
      <c r="G84" s="6" t="s">
        <v>619</v>
      </c>
      <c r="H84" s="4" t="s">
        <v>673</v>
      </c>
      <c r="I84" s="4" t="s">
        <v>621</v>
      </c>
      <c r="J84" s="6" t="s">
        <v>599</v>
      </c>
      <c r="K84" s="4" t="s">
        <v>667</v>
      </c>
    </row>
    <row r="85" customFormat="false" ht="30" hidden="false" customHeight="true" outlineLevel="0" collapsed="false">
      <c r="A85" s="2" t="s">
        <v>624</v>
      </c>
      <c r="B85" s="3" t="s">
        <v>623</v>
      </c>
      <c r="C85" s="4" t="s">
        <v>664</v>
      </c>
      <c r="D85" s="5" t="s">
        <v>624</v>
      </c>
      <c r="E85" s="5" t="s">
        <v>282</v>
      </c>
      <c r="F85" s="6" t="s">
        <v>674</v>
      </c>
      <c r="G85" s="6" t="s">
        <v>626</v>
      </c>
      <c r="H85" s="4" t="s">
        <v>675</v>
      </c>
      <c r="I85" s="4" t="s">
        <v>628</v>
      </c>
      <c r="J85" s="6" t="s">
        <v>599</v>
      </c>
      <c r="K85" s="4" t="s">
        <v>667</v>
      </c>
    </row>
    <row r="86" customFormat="false" ht="30" hidden="false" customHeight="true" outlineLevel="0" collapsed="false">
      <c r="A86" s="2" t="s">
        <v>631</v>
      </c>
      <c r="B86" s="3" t="s">
        <v>630</v>
      </c>
      <c r="C86" s="4" t="s">
        <v>664</v>
      </c>
      <c r="D86" s="5" t="s">
        <v>631</v>
      </c>
      <c r="E86" s="5" t="s">
        <v>282</v>
      </c>
      <c r="F86" s="6" t="s">
        <v>676</v>
      </c>
      <c r="G86" s="6" t="s">
        <v>633</v>
      </c>
      <c r="H86" s="4" t="s">
        <v>677</v>
      </c>
      <c r="I86" s="4" t="s">
        <v>635</v>
      </c>
      <c r="J86" s="6" t="s">
        <v>599</v>
      </c>
      <c r="K86" s="4" t="s">
        <v>667</v>
      </c>
    </row>
    <row r="87" customFormat="false" ht="30" hidden="false" customHeight="true" outlineLevel="0" collapsed="false">
      <c r="A87" s="2" t="s">
        <v>638</v>
      </c>
      <c r="B87" s="3" t="s">
        <v>637</v>
      </c>
      <c r="C87" s="4" t="s">
        <v>664</v>
      </c>
      <c r="D87" s="5" t="s">
        <v>638</v>
      </c>
      <c r="E87" s="5" t="s">
        <v>282</v>
      </c>
      <c r="F87" s="6" t="s">
        <v>678</v>
      </c>
      <c r="G87" s="6" t="s">
        <v>640</v>
      </c>
      <c r="H87" s="4" t="s">
        <v>679</v>
      </c>
      <c r="I87" s="4" t="s">
        <v>642</v>
      </c>
      <c r="J87" s="6" t="s">
        <v>599</v>
      </c>
      <c r="K87" s="4" t="s">
        <v>667</v>
      </c>
    </row>
    <row r="88" customFormat="false" ht="30" hidden="false" customHeight="true" outlineLevel="0" collapsed="false">
      <c r="A88" s="2" t="s">
        <v>645</v>
      </c>
      <c r="B88" s="3" t="s">
        <v>644</v>
      </c>
      <c r="C88" s="4" t="s">
        <v>664</v>
      </c>
      <c r="D88" s="5" t="s">
        <v>645</v>
      </c>
      <c r="E88" s="5" t="s">
        <v>282</v>
      </c>
      <c r="F88" s="6" t="s">
        <v>680</v>
      </c>
      <c r="G88" s="6" t="s">
        <v>647</v>
      </c>
      <c r="H88" s="4" t="s">
        <v>681</v>
      </c>
      <c r="I88" s="4" t="s">
        <v>649</v>
      </c>
      <c r="J88" s="6" t="s">
        <v>599</v>
      </c>
      <c r="K88" s="4" t="s">
        <v>667</v>
      </c>
    </row>
    <row r="89" customFormat="false" ht="30" hidden="false" customHeight="true" outlineLevel="0" collapsed="false">
      <c r="A89" s="2" t="s">
        <v>652</v>
      </c>
      <c r="B89" s="3" t="s">
        <v>651</v>
      </c>
      <c r="C89" s="4" t="s">
        <v>664</v>
      </c>
      <c r="D89" s="5" t="s">
        <v>652</v>
      </c>
      <c r="E89" s="5" t="s">
        <v>282</v>
      </c>
      <c r="F89" s="6" t="s">
        <v>682</v>
      </c>
      <c r="G89" s="6" t="s">
        <v>654</v>
      </c>
      <c r="H89" s="4" t="s">
        <v>683</v>
      </c>
      <c r="I89" s="4" t="s">
        <v>656</v>
      </c>
      <c r="J89" s="6" t="s">
        <v>599</v>
      </c>
      <c r="K89" s="4" t="s">
        <v>667</v>
      </c>
    </row>
    <row r="90" customFormat="false" ht="30" hidden="false" customHeight="true" outlineLevel="0" collapsed="false">
      <c r="A90" s="2" t="s">
        <v>659</v>
      </c>
      <c r="B90" s="3" t="s">
        <v>658</v>
      </c>
      <c r="C90" s="4" t="s">
        <v>664</v>
      </c>
      <c r="D90" s="5" t="s">
        <v>659</v>
      </c>
      <c r="E90" s="5" t="s">
        <v>282</v>
      </c>
      <c r="F90" s="6" t="s">
        <v>684</v>
      </c>
      <c r="G90" s="6" t="s">
        <v>661</v>
      </c>
      <c r="H90" s="4" t="s">
        <v>685</v>
      </c>
      <c r="I90" s="4" t="s">
        <v>663</v>
      </c>
      <c r="J90" s="6" t="s">
        <v>599</v>
      </c>
      <c r="K90" s="4" t="s">
        <v>667</v>
      </c>
    </row>
  </sheetData>
  <autoFilter ref="A1:K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45.75" hidden="false" customHeight="true" outlineLevel="0" collapsed="false">
      <c r="A1" s="1" t="s">
        <v>686</v>
      </c>
      <c r="B1" s="1" t="s">
        <v>687</v>
      </c>
      <c r="C1" s="1" t="s">
        <v>688</v>
      </c>
      <c r="D1" s="1" t="s">
        <v>689</v>
      </c>
      <c r="E1" s="1" t="s">
        <v>690</v>
      </c>
      <c r="F1" s="1" t="s">
        <v>3</v>
      </c>
      <c r="G1" s="1" t="s">
        <v>691</v>
      </c>
      <c r="H1" s="1" t="s">
        <v>692</v>
      </c>
      <c r="I1" s="1" t="s">
        <v>693</v>
      </c>
    </row>
    <row r="2" customFormat="false" ht="30" hidden="false" customHeight="true" outlineLevel="0" collapsed="false">
      <c r="A2" s="6" t="s">
        <v>694</v>
      </c>
      <c r="B2" s="2" t="s">
        <v>313</v>
      </c>
      <c r="C2" s="3" t="s">
        <v>314</v>
      </c>
      <c r="D2" s="2" t="s">
        <v>695</v>
      </c>
      <c r="E2" s="3" t="s">
        <v>696</v>
      </c>
      <c r="F2" s="6" t="s">
        <v>697</v>
      </c>
      <c r="G2" s="6" t="s">
        <v>698</v>
      </c>
      <c r="H2" s="2" t="s">
        <v>699</v>
      </c>
      <c r="I2" s="3" t="s">
        <v>700</v>
      </c>
    </row>
    <row r="3" customFormat="false" ht="30" hidden="false" customHeight="true" outlineLevel="0" collapsed="false">
      <c r="A3" s="6" t="s">
        <v>694</v>
      </c>
      <c r="B3" s="2" t="s">
        <v>323</v>
      </c>
      <c r="C3" s="3" t="s">
        <v>324</v>
      </c>
      <c r="D3" s="2" t="s">
        <v>701</v>
      </c>
      <c r="E3" s="3" t="s">
        <v>702</v>
      </c>
      <c r="F3" s="6" t="s">
        <v>703</v>
      </c>
      <c r="G3" s="6" t="s">
        <v>698</v>
      </c>
      <c r="H3" s="2" t="s">
        <v>704</v>
      </c>
      <c r="I3" s="3" t="s">
        <v>705</v>
      </c>
    </row>
    <row r="4" customFormat="false" ht="30" hidden="false" customHeight="true" outlineLevel="0" collapsed="false">
      <c r="A4" s="6" t="s">
        <v>694</v>
      </c>
      <c r="B4" s="2" t="s">
        <v>331</v>
      </c>
      <c r="C4" s="3" t="s">
        <v>332</v>
      </c>
      <c r="D4" s="2" t="s">
        <v>706</v>
      </c>
      <c r="E4" s="3" t="s">
        <v>707</v>
      </c>
      <c r="F4" s="6" t="s">
        <v>708</v>
      </c>
      <c r="G4" s="6" t="s">
        <v>698</v>
      </c>
      <c r="H4" s="2" t="s">
        <v>709</v>
      </c>
      <c r="I4" s="3" t="s">
        <v>710</v>
      </c>
    </row>
    <row r="5" customFormat="false" ht="30" hidden="false" customHeight="true" outlineLevel="0" collapsed="false">
      <c r="A5" s="6" t="s">
        <v>694</v>
      </c>
      <c r="B5" s="2" t="s">
        <v>339</v>
      </c>
      <c r="C5" s="3" t="s">
        <v>340</v>
      </c>
      <c r="D5" s="2" t="s">
        <v>711</v>
      </c>
      <c r="E5" s="3" t="s">
        <v>712</v>
      </c>
      <c r="F5" s="6" t="s">
        <v>713</v>
      </c>
      <c r="G5" s="6" t="s">
        <v>698</v>
      </c>
      <c r="H5" s="2" t="s">
        <v>714</v>
      </c>
      <c r="I5" s="3" t="s">
        <v>715</v>
      </c>
    </row>
    <row r="6" customFormat="false" ht="30" hidden="false" customHeight="true" outlineLevel="0" collapsed="false">
      <c r="A6" s="6" t="s">
        <v>694</v>
      </c>
      <c r="B6" s="2" t="s">
        <v>347</v>
      </c>
      <c r="C6" s="3" t="s">
        <v>348</v>
      </c>
      <c r="D6" s="2" t="s">
        <v>716</v>
      </c>
      <c r="E6" s="3" t="s">
        <v>717</v>
      </c>
      <c r="F6" s="6" t="s">
        <v>718</v>
      </c>
      <c r="G6" s="6" t="s">
        <v>719</v>
      </c>
      <c r="H6" s="2"/>
      <c r="I6" s="3"/>
    </row>
    <row r="7" customFormat="false" ht="30" hidden="false" customHeight="true" outlineLevel="0" collapsed="false">
      <c r="A7" s="6" t="s">
        <v>720</v>
      </c>
      <c r="B7" s="2" t="s">
        <v>356</v>
      </c>
      <c r="C7" s="3" t="s">
        <v>357</v>
      </c>
      <c r="D7" s="2" t="s">
        <v>721</v>
      </c>
      <c r="E7" s="3" t="s">
        <v>722</v>
      </c>
      <c r="F7" s="6" t="s">
        <v>723</v>
      </c>
      <c r="G7" s="6" t="s">
        <v>698</v>
      </c>
      <c r="H7" s="2" t="s">
        <v>724</v>
      </c>
      <c r="I7" s="3" t="s">
        <v>725</v>
      </c>
    </row>
    <row r="8" customFormat="false" ht="30" hidden="false" customHeight="true" outlineLevel="0" collapsed="false">
      <c r="A8" s="6" t="s">
        <v>720</v>
      </c>
      <c r="B8" s="2" t="s">
        <v>365</v>
      </c>
      <c r="C8" s="3" t="s">
        <v>366</v>
      </c>
      <c r="D8" s="2" t="s">
        <v>726</v>
      </c>
      <c r="E8" s="3" t="s">
        <v>727</v>
      </c>
      <c r="F8" s="6" t="s">
        <v>728</v>
      </c>
      <c r="G8" s="6" t="s">
        <v>698</v>
      </c>
      <c r="H8" s="2" t="s">
        <v>729</v>
      </c>
      <c r="I8" s="3" t="s">
        <v>730</v>
      </c>
    </row>
    <row r="9" customFormat="false" ht="30" hidden="false" customHeight="true" outlineLevel="0" collapsed="false">
      <c r="A9" s="6" t="s">
        <v>720</v>
      </c>
      <c r="B9" s="2" t="s">
        <v>373</v>
      </c>
      <c r="C9" s="3" t="s">
        <v>374</v>
      </c>
      <c r="D9" s="2" t="s">
        <v>731</v>
      </c>
      <c r="E9" s="3" t="s">
        <v>732</v>
      </c>
      <c r="F9" s="6" t="s">
        <v>733</v>
      </c>
      <c r="G9" s="6" t="s">
        <v>719</v>
      </c>
      <c r="H9" s="2" t="s">
        <v>734</v>
      </c>
      <c r="I9" s="3" t="s">
        <v>735</v>
      </c>
    </row>
    <row r="10" customFormat="false" ht="30" hidden="false" customHeight="true" outlineLevel="0" collapsed="false">
      <c r="A10" s="6" t="s">
        <v>720</v>
      </c>
      <c r="B10" s="2" t="s">
        <v>381</v>
      </c>
      <c r="C10" s="3" t="s">
        <v>382</v>
      </c>
      <c r="D10" s="2" t="s">
        <v>736</v>
      </c>
      <c r="E10" s="3" t="s">
        <v>737</v>
      </c>
      <c r="F10" s="6" t="s">
        <v>738</v>
      </c>
      <c r="G10" s="6" t="s">
        <v>719</v>
      </c>
      <c r="H10" s="2" t="s">
        <v>739</v>
      </c>
      <c r="I10" s="3" t="s">
        <v>740</v>
      </c>
    </row>
    <row r="11" customFormat="false" ht="30" hidden="false" customHeight="true" outlineLevel="0" collapsed="false">
      <c r="A11" s="6" t="s">
        <v>720</v>
      </c>
      <c r="B11" s="2" t="s">
        <v>389</v>
      </c>
      <c r="C11" s="3" t="s">
        <v>390</v>
      </c>
      <c r="D11" s="2" t="s">
        <v>741</v>
      </c>
      <c r="E11" s="3" t="s">
        <v>742</v>
      </c>
      <c r="F11" s="6" t="s">
        <v>743</v>
      </c>
      <c r="G11" s="6" t="s">
        <v>719</v>
      </c>
      <c r="H11" s="2"/>
      <c r="I11" s="3"/>
    </row>
    <row r="12" customFormat="false" ht="30" hidden="false" customHeight="true" outlineLevel="0" collapsed="false">
      <c r="A12" s="6" t="s">
        <v>744</v>
      </c>
      <c r="B12" s="2" t="s">
        <v>398</v>
      </c>
      <c r="C12" s="3" t="s">
        <v>399</v>
      </c>
      <c r="D12" s="2" t="s">
        <v>745</v>
      </c>
      <c r="E12" s="3" t="s">
        <v>746</v>
      </c>
      <c r="F12" s="6" t="s">
        <v>747</v>
      </c>
      <c r="G12" s="6" t="s">
        <v>698</v>
      </c>
      <c r="H12" s="2" t="s">
        <v>748</v>
      </c>
      <c r="I12" s="3" t="s">
        <v>749</v>
      </c>
    </row>
    <row r="13" customFormat="false" ht="30" hidden="false" customHeight="true" outlineLevel="0" collapsed="false">
      <c r="A13" s="6" t="s">
        <v>744</v>
      </c>
      <c r="B13" s="2" t="s">
        <v>407</v>
      </c>
      <c r="C13" s="3" t="s">
        <v>408</v>
      </c>
      <c r="D13" s="2" t="s">
        <v>750</v>
      </c>
      <c r="E13" s="3" t="s">
        <v>751</v>
      </c>
      <c r="F13" s="6" t="s">
        <v>752</v>
      </c>
      <c r="G13" s="6" t="s">
        <v>698</v>
      </c>
      <c r="H13" s="2" t="s">
        <v>753</v>
      </c>
      <c r="I13" s="3" t="s">
        <v>754</v>
      </c>
    </row>
    <row r="14" customFormat="false" ht="30" hidden="false" customHeight="true" outlineLevel="0" collapsed="false">
      <c r="A14" s="6" t="s">
        <v>744</v>
      </c>
      <c r="B14" s="2" t="s">
        <v>415</v>
      </c>
      <c r="C14" s="3" t="s">
        <v>416</v>
      </c>
      <c r="D14" s="2" t="s">
        <v>755</v>
      </c>
      <c r="E14" s="3" t="s">
        <v>756</v>
      </c>
      <c r="F14" s="6" t="s">
        <v>757</v>
      </c>
      <c r="G14" s="6" t="s">
        <v>698</v>
      </c>
      <c r="H14" s="2" t="s">
        <v>758</v>
      </c>
      <c r="I14" s="3" t="s">
        <v>759</v>
      </c>
    </row>
    <row r="15" customFormat="false" ht="30" hidden="false" customHeight="true" outlineLevel="0" collapsed="false">
      <c r="A15" s="6" t="s">
        <v>744</v>
      </c>
      <c r="B15" s="2" t="s">
        <v>423</v>
      </c>
      <c r="C15" s="3" t="s">
        <v>424</v>
      </c>
      <c r="D15" s="2" t="s">
        <v>760</v>
      </c>
      <c r="E15" s="3" t="s">
        <v>761</v>
      </c>
      <c r="F15" s="6" t="s">
        <v>762</v>
      </c>
      <c r="G15" s="6" t="s">
        <v>698</v>
      </c>
      <c r="H15" s="2"/>
      <c r="I15" s="3"/>
    </row>
    <row r="16" customFormat="false" ht="30" hidden="false" customHeight="true" outlineLevel="0" collapsed="false">
      <c r="A16" s="6" t="s">
        <v>744</v>
      </c>
      <c r="B16" s="2" t="s">
        <v>431</v>
      </c>
      <c r="C16" s="3" t="s">
        <v>432</v>
      </c>
      <c r="D16" s="2" t="s">
        <v>763</v>
      </c>
      <c r="E16" s="3" t="s">
        <v>764</v>
      </c>
      <c r="F16" s="6" t="s">
        <v>765</v>
      </c>
      <c r="G16" s="6" t="s">
        <v>698</v>
      </c>
      <c r="H16" s="2"/>
      <c r="I16" s="3"/>
    </row>
    <row r="17" customFormat="false" ht="30" hidden="false" customHeight="true" outlineLevel="0" collapsed="false">
      <c r="A17" s="6" t="s">
        <v>766</v>
      </c>
      <c r="B17" s="2" t="s">
        <v>440</v>
      </c>
      <c r="C17" s="3" t="s">
        <v>441</v>
      </c>
      <c r="D17" s="2" t="s">
        <v>767</v>
      </c>
      <c r="E17" s="3" t="s">
        <v>768</v>
      </c>
      <c r="F17" s="6" t="s">
        <v>769</v>
      </c>
      <c r="G17" s="6" t="s">
        <v>698</v>
      </c>
      <c r="H17" s="2" t="s">
        <v>770</v>
      </c>
      <c r="I17" s="3" t="s">
        <v>771</v>
      </c>
    </row>
    <row r="18" customFormat="false" ht="30" hidden="false" customHeight="true" outlineLevel="0" collapsed="false">
      <c r="A18" s="6" t="s">
        <v>766</v>
      </c>
      <c r="B18" s="2" t="s">
        <v>449</v>
      </c>
      <c r="C18" s="3" t="s">
        <v>450</v>
      </c>
      <c r="D18" s="2" t="s">
        <v>772</v>
      </c>
      <c r="E18" s="3" t="s">
        <v>773</v>
      </c>
      <c r="F18" s="6" t="s">
        <v>774</v>
      </c>
      <c r="G18" s="6" t="s">
        <v>719</v>
      </c>
      <c r="H18" s="2" t="s">
        <v>775</v>
      </c>
      <c r="I18" s="3" t="s">
        <v>776</v>
      </c>
    </row>
    <row r="19" customFormat="false" ht="30" hidden="false" customHeight="true" outlineLevel="0" collapsed="false">
      <c r="A19" s="6" t="s">
        <v>766</v>
      </c>
      <c r="B19" s="2" t="s">
        <v>457</v>
      </c>
      <c r="C19" s="3" t="s">
        <v>458</v>
      </c>
      <c r="D19" s="2" t="s">
        <v>777</v>
      </c>
      <c r="E19" s="3" t="s">
        <v>778</v>
      </c>
      <c r="F19" s="6" t="s">
        <v>779</v>
      </c>
      <c r="G19" s="6" t="s">
        <v>698</v>
      </c>
      <c r="H19" s="2" t="s">
        <v>780</v>
      </c>
      <c r="I19" s="3" t="s">
        <v>781</v>
      </c>
    </row>
    <row r="20" customFormat="false" ht="30" hidden="false" customHeight="true" outlineLevel="0" collapsed="false">
      <c r="A20" s="6" t="s">
        <v>766</v>
      </c>
      <c r="B20" s="2" t="s">
        <v>465</v>
      </c>
      <c r="C20" s="3" t="s">
        <v>466</v>
      </c>
      <c r="D20" s="2" t="s">
        <v>782</v>
      </c>
      <c r="E20" s="3" t="s">
        <v>783</v>
      </c>
      <c r="F20" s="6" t="s">
        <v>784</v>
      </c>
      <c r="G20" s="6" t="s">
        <v>698</v>
      </c>
      <c r="H20" s="2" t="s">
        <v>785</v>
      </c>
      <c r="I20" s="3" t="s">
        <v>786</v>
      </c>
    </row>
    <row r="21" customFormat="false" ht="30" hidden="false" customHeight="true" outlineLevel="0" collapsed="false">
      <c r="A21" s="6" t="s">
        <v>766</v>
      </c>
      <c r="B21" s="2" t="s">
        <v>473</v>
      </c>
      <c r="C21" s="3" t="s">
        <v>474</v>
      </c>
      <c r="D21" s="2" t="s">
        <v>787</v>
      </c>
      <c r="E21" s="3" t="s">
        <v>788</v>
      </c>
      <c r="F21" s="6" t="s">
        <v>789</v>
      </c>
      <c r="G21" s="6" t="s">
        <v>698</v>
      </c>
      <c r="H21" s="2" t="s">
        <v>790</v>
      </c>
      <c r="I21" s="3" t="s">
        <v>791</v>
      </c>
    </row>
    <row r="22" customFormat="false" ht="30" hidden="false" customHeight="true" outlineLevel="0" collapsed="false">
      <c r="A22" s="6" t="s">
        <v>792</v>
      </c>
      <c r="B22" s="2" t="s">
        <v>482</v>
      </c>
      <c r="C22" s="3" t="s">
        <v>483</v>
      </c>
      <c r="D22" s="2" t="s">
        <v>793</v>
      </c>
      <c r="E22" s="3" t="s">
        <v>794</v>
      </c>
      <c r="F22" s="6" t="s">
        <v>795</v>
      </c>
      <c r="G22" s="6" t="s">
        <v>719</v>
      </c>
      <c r="H22" s="2" t="s">
        <v>796</v>
      </c>
      <c r="I22" s="3" t="s">
        <v>797</v>
      </c>
    </row>
    <row r="23" customFormat="false" ht="30" hidden="false" customHeight="true" outlineLevel="0" collapsed="false">
      <c r="A23" s="6" t="s">
        <v>792</v>
      </c>
      <c r="B23" s="2" t="s">
        <v>491</v>
      </c>
      <c r="C23" s="3" t="s">
        <v>492</v>
      </c>
      <c r="D23" s="2" t="s">
        <v>798</v>
      </c>
      <c r="E23" s="3" t="s">
        <v>799</v>
      </c>
      <c r="F23" s="6" t="s">
        <v>800</v>
      </c>
      <c r="G23" s="6" t="s">
        <v>719</v>
      </c>
      <c r="H23" s="2"/>
      <c r="I23" s="3"/>
    </row>
    <row r="24" customFormat="false" ht="30" hidden="false" customHeight="true" outlineLevel="0" collapsed="false">
      <c r="A24" s="6" t="s">
        <v>792</v>
      </c>
      <c r="B24" s="2" t="s">
        <v>499</v>
      </c>
      <c r="C24" s="3" t="s">
        <v>500</v>
      </c>
      <c r="D24" s="2" t="s">
        <v>801</v>
      </c>
      <c r="E24" s="3" t="s">
        <v>802</v>
      </c>
      <c r="F24" s="6" t="s">
        <v>803</v>
      </c>
      <c r="G24" s="6" t="s">
        <v>804</v>
      </c>
      <c r="H24" s="2" t="s">
        <v>805</v>
      </c>
      <c r="I24" s="3" t="s">
        <v>806</v>
      </c>
    </row>
    <row r="25" customFormat="false" ht="30" hidden="false" customHeight="true" outlineLevel="0" collapsed="false">
      <c r="A25" s="6" t="s">
        <v>792</v>
      </c>
      <c r="B25" s="2" t="s">
        <v>507</v>
      </c>
      <c r="C25" s="3" t="s">
        <v>508</v>
      </c>
      <c r="D25" s="2" t="s">
        <v>807</v>
      </c>
      <c r="E25" s="3" t="s">
        <v>808</v>
      </c>
      <c r="F25" s="6" t="s">
        <v>809</v>
      </c>
      <c r="G25" s="6" t="s">
        <v>719</v>
      </c>
      <c r="H25" s="2" t="s">
        <v>810</v>
      </c>
      <c r="I25" s="3" t="s">
        <v>811</v>
      </c>
    </row>
    <row r="26" customFormat="false" ht="30" hidden="false" customHeight="true" outlineLevel="0" collapsed="false">
      <c r="A26" s="6" t="s">
        <v>792</v>
      </c>
      <c r="B26" s="2" t="s">
        <v>515</v>
      </c>
      <c r="C26" s="3" t="s">
        <v>516</v>
      </c>
      <c r="D26" s="2" t="s">
        <v>812</v>
      </c>
      <c r="E26" s="3" t="s">
        <v>813</v>
      </c>
      <c r="F26" s="6" t="s">
        <v>814</v>
      </c>
      <c r="G26" s="6" t="s">
        <v>719</v>
      </c>
      <c r="H26" s="2" t="s">
        <v>815</v>
      </c>
      <c r="I26" s="3" t="s">
        <v>816</v>
      </c>
    </row>
  </sheetData>
  <autoFilter ref="A1:I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7" t="s">
        <v>817</v>
      </c>
    </row>
    <row r="2" customFormat="false" ht="30" hidden="false" customHeight="true" outlineLevel="0" collapsed="false">
      <c r="A2" s="8" t="s">
        <v>818</v>
      </c>
      <c r="B2" s="9" t="s">
        <v>819</v>
      </c>
    </row>
    <row r="3" customFormat="false" ht="15" hidden="false" customHeight="false" outlineLevel="0" collapsed="false">
      <c r="A3" s="8" t="s">
        <v>820</v>
      </c>
      <c r="B3" s="9" t="s">
        <v>821</v>
      </c>
    </row>
    <row r="4" customFormat="false" ht="15" hidden="false" customHeight="false" outlineLevel="0" collapsed="false">
      <c r="A4" s="8" t="s">
        <v>822</v>
      </c>
      <c r="B4" s="9" t="s">
        <v>823</v>
      </c>
    </row>
    <row r="5" customFormat="false" ht="30" hidden="false" customHeight="true" outlineLevel="0" collapsed="false">
      <c r="A5" s="8" t="s">
        <v>824</v>
      </c>
      <c r="B5" s="9" t="s">
        <v>825</v>
      </c>
    </row>
    <row r="7" customFormat="false" ht="15" hidden="false" customHeight="false" outlineLevel="0" collapsed="false">
      <c r="A7" s="10" t="s">
        <v>826</v>
      </c>
      <c r="B7" s="11"/>
    </row>
    <row r="8" customFormat="false" ht="15" hidden="false" customHeight="false" outlineLevel="0" collapsed="false">
      <c r="A8" s="8" t="s">
        <v>827</v>
      </c>
      <c r="B8" s="9" t="s">
        <v>828</v>
      </c>
    </row>
    <row r="9" customFormat="false" ht="30" hidden="false" customHeight="true" outlineLevel="0" collapsed="false">
      <c r="A9" s="8" t="s">
        <v>829</v>
      </c>
      <c r="B9" s="9" t="s">
        <v>830</v>
      </c>
    </row>
    <row r="10" customFormat="false" ht="15" hidden="false" customHeight="false" outlineLevel="0" collapsed="false">
      <c r="A10" s="8" t="s">
        <v>10</v>
      </c>
      <c r="B10" s="9" t="s">
        <v>831</v>
      </c>
    </row>
    <row r="12" customFormat="false" ht="15" hidden="false" customHeight="false" outlineLevel="0" collapsed="false">
      <c r="A12" s="10" t="s">
        <v>832</v>
      </c>
      <c r="B12" s="11"/>
    </row>
    <row r="13" customFormat="false" ht="30" hidden="false" customHeight="true" outlineLevel="0" collapsed="false">
      <c r="A13" s="8" t="s">
        <v>833</v>
      </c>
      <c r="B13" s="9" t="s">
        <v>834</v>
      </c>
    </row>
    <row r="14" customFormat="false" ht="30" hidden="false" customHeight="true" outlineLevel="0" collapsed="false">
      <c r="A14" s="8" t="s">
        <v>2</v>
      </c>
      <c r="B14" s="9" t="s">
        <v>835</v>
      </c>
    </row>
    <row r="15" customFormat="false" ht="43.5" hidden="false" customHeight="true" outlineLevel="0" collapsed="false">
      <c r="A15" s="8" t="s">
        <v>3</v>
      </c>
      <c r="B15" s="9" t="s">
        <v>836</v>
      </c>
    </row>
    <row r="16" customFormat="false" ht="43.5" hidden="false" customHeight="true" outlineLevel="0" collapsed="false">
      <c r="A16" s="8" t="s">
        <v>4</v>
      </c>
      <c r="B16" s="9" t="s">
        <v>837</v>
      </c>
    </row>
    <row r="17" customFormat="false" ht="30" hidden="false" customHeight="true" outlineLevel="0" collapsed="false">
      <c r="A17" s="8" t="s">
        <v>838</v>
      </c>
      <c r="B17" s="9" t="s">
        <v>839</v>
      </c>
    </row>
    <row r="18" customFormat="false" ht="43.5" hidden="false" customHeight="true" outlineLevel="0" collapsed="false">
      <c r="A18" s="8" t="s">
        <v>840</v>
      </c>
      <c r="B18" s="9" t="s">
        <v>841</v>
      </c>
    </row>
    <row r="19" customFormat="false" ht="30" hidden="false" customHeight="true" outlineLevel="0" collapsed="false">
      <c r="A19" s="8" t="s">
        <v>9</v>
      </c>
      <c r="B19" s="9" t="s">
        <v>842</v>
      </c>
    </row>
    <row r="20" customFormat="false" ht="30" hidden="false" customHeight="true" outlineLevel="0" collapsed="false">
      <c r="A20" s="8" t="s">
        <v>10</v>
      </c>
      <c r="B20" s="9" t="s">
        <v>843</v>
      </c>
    </row>
    <row r="22" customFormat="false" ht="15" hidden="false" customHeight="false" outlineLevel="0" collapsed="false">
      <c r="A22" s="10" t="s">
        <v>844</v>
      </c>
      <c r="B22" s="11"/>
    </row>
    <row r="23" customFormat="false" ht="15" hidden="false" customHeight="false" outlineLevel="0" collapsed="false">
      <c r="A23" s="8" t="s">
        <v>845</v>
      </c>
      <c r="B23" s="9" t="s">
        <v>846</v>
      </c>
    </row>
    <row r="24" customFormat="false" ht="15" hidden="false" customHeight="false" outlineLevel="0" collapsed="false">
      <c r="A24" s="8" t="s">
        <v>3</v>
      </c>
      <c r="B24" s="9" t="s">
        <v>847</v>
      </c>
    </row>
    <row r="25" customFormat="false" ht="57.75" hidden="false" customHeight="true" outlineLevel="0" collapsed="false">
      <c r="A25" s="8" t="s">
        <v>4</v>
      </c>
      <c r="B25" s="9" t="s">
        <v>848</v>
      </c>
    </row>
    <row r="26" customFormat="false" ht="30" hidden="false" customHeight="true" outlineLevel="0" collapsed="false">
      <c r="A26" s="8" t="s">
        <v>849</v>
      </c>
      <c r="B26" s="9" t="s">
        <v>850</v>
      </c>
    </row>
    <row r="28" customFormat="false" ht="15" hidden="false" customHeight="false" outlineLevel="0" collapsed="false">
      <c r="A28" s="10" t="s">
        <v>851</v>
      </c>
      <c r="B28" s="11"/>
    </row>
    <row r="29" customFormat="false" ht="15" hidden="false" customHeight="false" outlineLevel="0" collapsed="false">
      <c r="A29" s="8" t="s">
        <v>852</v>
      </c>
      <c r="B29" s="12" t="n">
        <f aca="false">COUNTA(Lexicon!A2:A90)</f>
        <v>89</v>
      </c>
    </row>
    <row r="30" customFormat="false" ht="15" hidden="false" customHeight="false" outlineLevel="0" collapsed="false">
      <c r="A30" s="8" t="s">
        <v>13</v>
      </c>
      <c r="B30" s="12" t="n">
        <f aca="false">COUNTIF(Lexicon!C2:C90,"Independent vowel")</f>
        <v>14</v>
      </c>
    </row>
    <row r="31" customFormat="false" ht="15" hidden="false" customHeight="false" outlineLevel="0" collapsed="false">
      <c r="A31" s="8" t="s">
        <v>141</v>
      </c>
      <c r="B31" s="12" t="n">
        <f aca="false">COUNTIF(Lexicon!C2:C90,"Vowel sign")</f>
        <v>15</v>
      </c>
    </row>
    <row r="32" customFormat="false" ht="15" hidden="false" customHeight="false" outlineLevel="0" collapsed="false">
      <c r="A32" s="8" t="s">
        <v>254</v>
      </c>
      <c r="B32" s="12" t="n">
        <f aca="false">COUNTIF(Lexicon!C2:C90,"Sign")</f>
        <v>7</v>
      </c>
    </row>
    <row r="33" customFormat="false" ht="15" hidden="false" customHeight="false" outlineLevel="0" collapsed="false">
      <c r="A33" s="8" t="s">
        <v>315</v>
      </c>
      <c r="B33" s="12" t="n">
        <f aca="false">COUNTIF(Lexicon!C2:C90,"Consonant")</f>
        <v>33</v>
      </c>
    </row>
    <row r="34" customFormat="false" ht="15" hidden="false" customHeight="false" outlineLevel="0" collapsed="false">
      <c r="A34" s="8" t="s">
        <v>593</v>
      </c>
      <c r="B34" s="12" t="n">
        <f aca="false">COUNTIF(Lexicon!C2:C90,"Digit (Devanagari)")</f>
        <v>10</v>
      </c>
    </row>
    <row r="35" customFormat="false" ht="15" hidden="false" customHeight="false" outlineLevel="0" collapsed="false">
      <c r="A35" s="8" t="s">
        <v>664</v>
      </c>
      <c r="B35" s="12" t="n">
        <f aca="false">COUNTIF(Lexicon!C2:C90,"Digit (ASCII)")</f>
        <v>10</v>
      </c>
    </row>
    <row r="36" customFormat="false" ht="15" hidden="false" customHeight="false" outlineLevel="0" collapsed="false">
      <c r="A36" s="8" t="s">
        <v>853</v>
      </c>
      <c r="B36" s="12" t="str">
        <f aca="false">IF(SUM(B30:B35)=B29,"OK","Mismatch")</f>
        <v>OK</v>
      </c>
    </row>
    <row r="37" customFormat="false" ht="15" hidden="false" customHeight="false" outlineLevel="0" collapsed="false">
      <c r="A37" s="8" t="s">
        <v>854</v>
      </c>
      <c r="B37" s="12" t="n">
        <f aca="false">COUNTA('Nasal conjuncts'!D2:D26)</f>
        <v>25</v>
      </c>
    </row>
    <row r="39" customFormat="false" ht="15" hidden="false" customHeight="false" outlineLevel="0" collapsed="false">
      <c r="A39" s="10" t="s">
        <v>855</v>
      </c>
      <c r="B39" s="11"/>
    </row>
    <row r="40" customFormat="false" ht="30" hidden="false" customHeight="true" outlineLevel="0" collapsed="false">
      <c r="A40" s="8" t="s">
        <v>856</v>
      </c>
      <c r="B40" s="9" t="s">
        <v>857</v>
      </c>
    </row>
    <row r="41" customFormat="false" ht="57.75" hidden="false" customHeight="true" outlineLevel="0" collapsed="false">
      <c r="A41" s="8" t="s">
        <v>858</v>
      </c>
      <c r="B41" s="9" t="s">
        <v>859</v>
      </c>
    </row>
    <row r="42" customFormat="false" ht="57.75" hidden="false" customHeight="true" outlineLevel="0" collapsed="false">
      <c r="A42" s="8" t="s">
        <v>860</v>
      </c>
      <c r="B42" s="9" t="s">
        <v>861</v>
      </c>
    </row>
    <row r="43" customFormat="false" ht="30" hidden="false" customHeight="true" outlineLevel="0" collapsed="false">
      <c r="A43" s="8" t="s">
        <v>862</v>
      </c>
      <c r="B43" s="9" t="s">
        <v>863</v>
      </c>
    </row>
    <row r="44" customFormat="false" ht="30" hidden="false" customHeight="true" outlineLevel="0" collapsed="false">
      <c r="A44" s="8" t="s">
        <v>864</v>
      </c>
      <c r="B44" s="9" t="s"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2026-10-03T08:39:52Z</dcterms:created>
  <dc:creator>Maithili Transliterator</dc:creator>
  <dc:description/>
  <dc:language>en-US</dc:language>
  <cp:lastModifiedBy/>
  <dcterms:modified xsi:type="dcterms:W3CDTF">2026-10-03T08:39:52Z</dcterms:modified>
  <cp:revision>0</cp:revision>
  <dc:subject/>
  <dc:title>Maithili Lexicon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